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thaarald/Downloads/"/>
    </mc:Choice>
  </mc:AlternateContent>
  <xr:revisionPtr revIDLastSave="0" documentId="13_ncr:1_{65294C0E-5473-A94C-B687-130592955ADC}" xr6:coauthVersionLast="47" xr6:coauthVersionMax="47" xr10:uidLastSave="{00000000-0000-0000-0000-000000000000}"/>
  <bookViews>
    <workbookView xWindow="4440" yWindow="740" windowWidth="24960" windowHeight="16460" tabRatio="500" xr2:uid="{00000000-000D-0000-FFFF-FFFF00000000}"/>
  </bookViews>
  <sheets>
    <sheet name="Sales Data" sheetId="1" r:id="rId1"/>
    <sheet name="Pivot Table " sheetId="9" r:id="rId2"/>
    <sheet name="Trial Balance" sheetId="3" r:id="rId3"/>
    <sheet name="Common size analysis " sheetId="6" r:id="rId4"/>
    <sheet name="Fixed Assets Register" sheetId="2" r:id="rId5"/>
    <sheet name="Payroll Register" sheetId="4" r:id="rId6"/>
    <sheet name="Scenario Summary" sheetId="10" r:id="rId7"/>
    <sheet name="Loan Scenarios" sheetId="8" r:id="rId8"/>
  </sheets>
  <definedNames>
    <definedName name="_xlnm._FilterDatabase" localSheetId="0" hidden="1">'Sales Data'!$A$2:$H$122</definedName>
    <definedName name="_xlnm.Extract" localSheetId="0">'Sales Data'!$P$2:$P$16</definedName>
    <definedName name="pmt">'Loan Scenarios'!$C$13</definedName>
  </definedNames>
  <calcPr calcId="191028"/>
  <pivotCaches>
    <pivotCache cacheId="2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22" i="9" l="1"/>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L3" i="4"/>
  <c r="L4" i="4"/>
  <c r="L5" i="4"/>
  <c r="L6" i="4"/>
  <c r="L7" i="4"/>
  <c r="L8" i="4"/>
  <c r="L9" i="4"/>
  <c r="L10" i="4"/>
  <c r="L11" i="4"/>
  <c r="L12" i="4"/>
  <c r="J4" i="4"/>
  <c r="J5" i="4"/>
  <c r="J6" i="4"/>
  <c r="J7" i="4"/>
  <c r="J8" i="4"/>
  <c r="J9" i="4"/>
  <c r="J10" i="4"/>
  <c r="J11" i="4"/>
  <c r="J12" i="4"/>
  <c r="J13" i="4"/>
  <c r="L13" i="4" s="1"/>
  <c r="J14" i="4"/>
  <c r="J15" i="4"/>
  <c r="J16" i="4"/>
  <c r="J3" i="4"/>
  <c r="C13" i="8"/>
  <c r="C14" i="8" s="1"/>
  <c r="B6" i="8"/>
  <c r="B5" i="8"/>
  <c r="B4" i="8"/>
  <c r="L14" i="4"/>
  <c r="L15" i="4"/>
  <c r="L16" i="4"/>
  <c r="I4" i="4"/>
  <c r="I5" i="4"/>
  <c r="I6" i="4"/>
  <c r="I7" i="4"/>
  <c r="I8" i="4"/>
  <c r="I9" i="4"/>
  <c r="I10" i="4"/>
  <c r="I11" i="4"/>
  <c r="I12" i="4"/>
  <c r="I13" i="4"/>
  <c r="I14" i="4"/>
  <c r="I15" i="4"/>
  <c r="I16" i="4"/>
  <c r="I3" i="4"/>
  <c r="O17" i="2"/>
  <c r="N17" i="2"/>
  <c r="L17" i="2"/>
  <c r="O16" i="2"/>
  <c r="N16" i="2"/>
  <c r="L16" i="2"/>
  <c r="O15" i="2"/>
  <c r="N15" i="2"/>
  <c r="L15" i="2"/>
  <c r="M15" i="2"/>
  <c r="M16" i="2"/>
  <c r="M17" i="2"/>
  <c r="O14" i="2"/>
  <c r="N13" i="2"/>
  <c r="N14" i="2"/>
  <c r="M14" i="2"/>
  <c r="M13" i="2"/>
  <c r="J5" i="2"/>
  <c r="G15" i="2"/>
  <c r="H15" i="2"/>
  <c r="I15" i="2"/>
  <c r="J15" i="2"/>
  <c r="G16" i="2"/>
  <c r="H16" i="2"/>
  <c r="I16" i="2"/>
  <c r="J16" i="2"/>
  <c r="G17" i="2"/>
  <c r="H17" i="2"/>
  <c r="I17" i="2"/>
  <c r="J17" i="2"/>
  <c r="G18" i="2"/>
  <c r="H18" i="2"/>
  <c r="H19" i="2"/>
  <c r="H20" i="2"/>
  <c r="H21" i="2"/>
  <c r="H22" i="2"/>
  <c r="I18" i="2"/>
  <c r="I19" i="2"/>
  <c r="I20" i="2"/>
  <c r="I21" i="2"/>
  <c r="I22" i="2"/>
  <c r="J18" i="2"/>
  <c r="G19" i="2"/>
  <c r="J19" i="2"/>
  <c r="G20" i="2"/>
  <c r="J20" i="2"/>
  <c r="G21" i="2"/>
  <c r="J21" i="2"/>
  <c r="G22" i="2"/>
  <c r="J22" i="2"/>
  <c r="K4" i="2"/>
  <c r="L4" i="2"/>
  <c r="J14" i="2"/>
  <c r="I14" i="2"/>
  <c r="H14" i="2"/>
  <c r="H13" i="2"/>
  <c r="J13" i="2"/>
  <c r="G14" i="2"/>
  <c r="B15" i="2"/>
  <c r="C15" i="2"/>
  <c r="D15" i="2"/>
  <c r="E15" i="2"/>
  <c r="B16" i="2"/>
  <c r="C16" i="2"/>
  <c r="D16" i="2"/>
  <c r="E16" i="2"/>
  <c r="B17" i="2"/>
  <c r="E17" i="2"/>
  <c r="B18" i="2"/>
  <c r="E18" i="2"/>
  <c r="B19" i="2"/>
  <c r="E19" i="2"/>
  <c r="B20" i="2"/>
  <c r="E20" i="2"/>
  <c r="C17" i="2"/>
  <c r="D17" i="2"/>
  <c r="D18" i="2"/>
  <c r="D19" i="2"/>
  <c r="D20" i="2"/>
  <c r="C18" i="2"/>
  <c r="C19" i="2"/>
  <c r="C20" i="2"/>
  <c r="E14" i="2"/>
  <c r="D14" i="2"/>
  <c r="C14" i="2"/>
  <c r="B14" i="2"/>
  <c r="E13" i="2"/>
  <c r="D13" i="2"/>
  <c r="C13" i="2"/>
  <c r="L5" i="2"/>
  <c r="J4" i="2"/>
  <c r="H3" i="6"/>
  <c r="H4" i="6"/>
  <c r="H5" i="6"/>
  <c r="H6" i="6"/>
  <c r="H7" i="6"/>
  <c r="H8" i="6"/>
  <c r="H9" i="6"/>
  <c r="H10" i="6"/>
  <c r="H11" i="6"/>
  <c r="H12" i="6"/>
  <c r="H13" i="6"/>
  <c r="H14" i="6"/>
  <c r="H15" i="6"/>
  <c r="H2" i="6"/>
  <c r="G15" i="6"/>
  <c r="G13" i="6"/>
  <c r="G12" i="6"/>
  <c r="G14" i="6"/>
  <c r="G11" i="6"/>
  <c r="G10" i="6"/>
  <c r="G9" i="6"/>
  <c r="G8" i="6"/>
  <c r="G7" i="6"/>
  <c r="G6" i="6"/>
  <c r="G4" i="6"/>
  <c r="G3" i="6"/>
  <c r="G2" i="6"/>
  <c r="F3" i="6"/>
  <c r="F4" i="6"/>
  <c r="F5" i="6"/>
  <c r="F6" i="6"/>
  <c r="F7" i="6"/>
  <c r="F8" i="6"/>
  <c r="F9" i="6"/>
  <c r="F10" i="6"/>
  <c r="F11" i="6"/>
  <c r="F12" i="6"/>
  <c r="F13" i="6"/>
  <c r="F14" i="6"/>
  <c r="F15" i="6"/>
  <c r="F2" i="6"/>
  <c r="E15" i="6"/>
  <c r="E13" i="6"/>
  <c r="E14" i="6"/>
  <c r="E12" i="6"/>
  <c r="E11" i="6"/>
  <c r="E10" i="6"/>
  <c r="E9" i="6"/>
  <c r="E8" i="6"/>
  <c r="E7" i="6"/>
  <c r="E6" i="6"/>
  <c r="E4" i="6"/>
  <c r="E3" i="6"/>
  <c r="E2" i="6"/>
  <c r="D3" i="6"/>
  <c r="D4" i="6"/>
  <c r="D5" i="6"/>
  <c r="D6" i="6"/>
  <c r="D7" i="6"/>
  <c r="D8" i="6"/>
  <c r="D9" i="6"/>
  <c r="D10" i="6"/>
  <c r="D11" i="6"/>
  <c r="D12" i="6"/>
  <c r="D13" i="6"/>
  <c r="D14" i="6"/>
  <c r="D15" i="6"/>
  <c r="D2" i="6"/>
  <c r="C2" i="6"/>
  <c r="C14" i="6"/>
  <c r="C11" i="6"/>
  <c r="C10" i="6"/>
  <c r="C9" i="6"/>
  <c r="C8" i="6"/>
  <c r="C7" i="6"/>
  <c r="C6" i="6"/>
  <c r="C4" i="6"/>
  <c r="C13" i="6"/>
  <c r="C15" i="6"/>
  <c r="C3" i="6"/>
  <c r="H6" i="1"/>
  <c r="H7" i="1"/>
  <c r="H18" i="1"/>
  <c r="H13" i="1"/>
  <c r="H5" i="1"/>
  <c r="H10" i="1"/>
  <c r="H9" i="1"/>
  <c r="H8" i="1"/>
  <c r="H15" i="1"/>
  <c r="H11" i="1"/>
  <c r="H3" i="1"/>
  <c r="H17" i="1"/>
  <c r="H12" i="1"/>
  <c r="H19" i="1"/>
  <c r="H4" i="1"/>
  <c r="H16" i="1"/>
  <c r="H21" i="1"/>
  <c r="H24" i="1"/>
  <c r="H20" i="1"/>
  <c r="H22" i="1"/>
  <c r="H23" i="1"/>
  <c r="H25" i="1"/>
  <c r="H26" i="1"/>
  <c r="H34" i="1"/>
  <c r="H32" i="1"/>
  <c r="H41" i="1"/>
  <c r="H48" i="1"/>
  <c r="H45" i="1"/>
  <c r="H47" i="1"/>
  <c r="H43" i="1"/>
  <c r="H36" i="1"/>
  <c r="H35" i="1"/>
  <c r="H46" i="1"/>
  <c r="H30" i="1"/>
  <c r="H28" i="1"/>
  <c r="H38" i="1"/>
  <c r="H39" i="1"/>
  <c r="H27" i="1"/>
  <c r="H37" i="1"/>
  <c r="H40" i="1"/>
  <c r="H44" i="1"/>
  <c r="H42" i="1"/>
  <c r="H31" i="1"/>
  <c r="H49" i="1"/>
  <c r="H33" i="1"/>
  <c r="H29" i="1"/>
  <c r="H50" i="1"/>
  <c r="H57" i="1"/>
  <c r="H56" i="1"/>
  <c r="H58" i="1"/>
  <c r="H70" i="1"/>
  <c r="H54" i="1"/>
  <c r="H53" i="1"/>
  <c r="H52" i="1"/>
  <c r="H51" i="1"/>
  <c r="H61" i="1"/>
  <c r="H69" i="1"/>
  <c r="H68" i="1"/>
  <c r="H59" i="1"/>
  <c r="H60" i="1"/>
  <c r="H66" i="1"/>
  <c r="H67" i="1"/>
  <c r="H62" i="1"/>
  <c r="H64" i="1"/>
  <c r="H65" i="1"/>
  <c r="H55" i="1"/>
  <c r="H63" i="1"/>
  <c r="H71" i="1"/>
  <c r="H72" i="1"/>
  <c r="H73" i="1"/>
  <c r="H74" i="1"/>
  <c r="H87" i="1"/>
  <c r="H77" i="1"/>
  <c r="H93" i="1"/>
  <c r="H89" i="1"/>
  <c r="H92" i="1"/>
  <c r="H90" i="1"/>
  <c r="H84" i="1"/>
  <c r="H83" i="1"/>
  <c r="H82" i="1"/>
  <c r="H95" i="1"/>
  <c r="H79" i="1"/>
  <c r="H75" i="1"/>
  <c r="H86" i="1"/>
  <c r="H91" i="1"/>
  <c r="H76" i="1"/>
  <c r="H85" i="1"/>
  <c r="H81" i="1"/>
  <c r="H88" i="1"/>
  <c r="H78" i="1"/>
  <c r="H80" i="1"/>
  <c r="H94" i="1"/>
  <c r="H96" i="1"/>
  <c r="H98" i="1"/>
  <c r="H97" i="1"/>
  <c r="H119" i="1"/>
  <c r="H100" i="1"/>
  <c r="H102" i="1"/>
  <c r="H101" i="1"/>
  <c r="H121" i="1"/>
  <c r="H109" i="1"/>
  <c r="H116" i="1"/>
  <c r="H118" i="1"/>
  <c r="H111" i="1"/>
  <c r="H107" i="1"/>
  <c r="H110" i="1"/>
  <c r="H112" i="1"/>
  <c r="H114" i="1"/>
  <c r="H103" i="1"/>
  <c r="H115" i="1"/>
  <c r="H122" i="1"/>
  <c r="H120" i="1"/>
  <c r="H104" i="1"/>
  <c r="H106" i="1"/>
  <c r="H113" i="1"/>
  <c r="H108" i="1"/>
  <c r="H105" i="1"/>
  <c r="H99" i="1"/>
  <c r="H117" i="1"/>
  <c r="H14" i="1"/>
  <c r="O13" i="2"/>
  <c r="L14" i="2"/>
  <c r="I13" i="2"/>
  <c r="C12" i="6"/>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3" i="1"/>
  <c r="N3" i="1" a="1"/>
  <c r="N3" i="1" s="1"/>
  <c r="N12" i="2"/>
  <c r="I12" i="2"/>
  <c r="I22" i="3"/>
  <c r="H22" i="3"/>
  <c r="G22" i="3"/>
  <c r="F22" i="3"/>
  <c r="E22" i="3"/>
  <c r="D2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<sst xmlns="http://schemas.openxmlformats.org/spreadsheetml/2006/main" count="1581" uniqueCount="433">
  <si>
    <t>Nokhba Electronics — Raw Transaction Export FY2022–FY2024</t>
  </si>
  <si>
    <t>Invoice_ID</t>
  </si>
  <si>
    <t>Date</t>
  </si>
  <si>
    <t>Client_Name</t>
  </si>
  <si>
    <t>Region</t>
  </si>
  <si>
    <t>Product_Category</t>
  </si>
  <si>
    <t>Qty</t>
  </si>
  <si>
    <t>Unit_Price_SAR</t>
  </si>
  <si>
    <t>Total_Sale_SAR</t>
  </si>
  <si>
    <t>Notes (explain how data has been cleaned)</t>
  </si>
  <si>
    <t>INV-1001</t>
  </si>
  <si>
    <t>08/01/2022</t>
  </si>
  <si>
    <t>Al Rajhi</t>
  </si>
  <si>
    <t>Riyadh</t>
  </si>
  <si>
    <t>Laptop</t>
  </si>
  <si>
    <t>5</t>
  </si>
  <si>
    <t>INV-1002</t>
  </si>
  <si>
    <t>Jeda</t>
  </si>
  <si>
    <t>Phone</t>
  </si>
  <si>
    <t>24</t>
  </si>
  <si>
    <t>INV-1003</t>
  </si>
  <si>
    <t>Dammm</t>
  </si>
  <si>
    <t>Prnter</t>
  </si>
  <si>
    <t>6</t>
  </si>
  <si>
    <t>INV-1004</t>
  </si>
  <si>
    <t>Jubal</t>
  </si>
  <si>
    <t>7</t>
  </si>
  <si>
    <t>INV-1005</t>
  </si>
  <si>
    <t>Khobar</t>
  </si>
  <si>
    <t>Printer</t>
  </si>
  <si>
    <t>INV-1006</t>
  </si>
  <si>
    <t>11</t>
  </si>
  <si>
    <t>INV-1007</t>
  </si>
  <si>
    <t>STC</t>
  </si>
  <si>
    <t>Tablet</t>
  </si>
  <si>
    <t>10</t>
  </si>
  <si>
    <t>INV-1008</t>
  </si>
  <si>
    <t>Aramco</t>
  </si>
  <si>
    <t>Dammam</t>
  </si>
  <si>
    <t>Accessories</t>
  </si>
  <si>
    <t>137</t>
  </si>
  <si>
    <t>INV-1009</t>
  </si>
  <si>
    <t>Sabic</t>
  </si>
  <si>
    <t>Jubail</t>
  </si>
  <si>
    <t>13</t>
  </si>
  <si>
    <t>INV-1010</t>
  </si>
  <si>
    <t>21</t>
  </si>
  <si>
    <t>INV-1011</t>
  </si>
  <si>
    <t>19</t>
  </si>
  <si>
    <t>INV-1012</t>
  </si>
  <si>
    <t>Jeddah</t>
  </si>
  <si>
    <t>14</t>
  </si>
  <si>
    <t>INV-1013</t>
  </si>
  <si>
    <t>tablet</t>
  </si>
  <si>
    <t>28</t>
  </si>
  <si>
    <t>INV-1014</t>
  </si>
  <si>
    <t>Laptpp</t>
  </si>
  <si>
    <t>12</t>
  </si>
  <si>
    <t>INV-1015</t>
  </si>
  <si>
    <t>Almarai</t>
  </si>
  <si>
    <t>47</t>
  </si>
  <si>
    <t>INV-1016</t>
  </si>
  <si>
    <t>Acessories</t>
  </si>
  <si>
    <t>143</t>
  </si>
  <si>
    <t>INV-1017</t>
  </si>
  <si>
    <t>Phon</t>
  </si>
  <si>
    <t>41</t>
  </si>
  <si>
    <t>INV-1018</t>
  </si>
  <si>
    <t>INV-1019</t>
  </si>
  <si>
    <t>SABIC</t>
  </si>
  <si>
    <t>34</t>
  </si>
  <si>
    <t>INV-1020</t>
  </si>
  <si>
    <t>Khobr</t>
  </si>
  <si>
    <t>8</t>
  </si>
  <si>
    <t>INV-1021</t>
  </si>
  <si>
    <t>al Rajhi</t>
  </si>
  <si>
    <t>INV-1022</t>
  </si>
  <si>
    <t>22</t>
  </si>
  <si>
    <t>INV-1023</t>
  </si>
  <si>
    <t>INV-1024</t>
  </si>
  <si>
    <t>167</t>
  </si>
  <si>
    <t>INV-1025</t>
  </si>
  <si>
    <t>43</t>
  </si>
  <si>
    <t>INV-1026</t>
  </si>
  <si>
    <t>Al  Rajhi</t>
  </si>
  <si>
    <t>RIYADH</t>
  </si>
  <si>
    <t>INV-1027</t>
  </si>
  <si>
    <t>17</t>
  </si>
  <si>
    <t>INV-1028</t>
  </si>
  <si>
    <t>INV-1029</t>
  </si>
  <si>
    <t>9</t>
  </si>
  <si>
    <t>INV-1030</t>
  </si>
  <si>
    <t>66</t>
  </si>
  <si>
    <t>INV-1031</t>
  </si>
  <si>
    <t>Ryadh</t>
  </si>
  <si>
    <t>185</t>
  </si>
  <si>
    <t>INV-1032</t>
  </si>
  <si>
    <t>jeddah</t>
  </si>
  <si>
    <t>INV-1033</t>
  </si>
  <si>
    <t>30</t>
  </si>
  <si>
    <t>INV-1034</t>
  </si>
  <si>
    <t>90</t>
  </si>
  <si>
    <t>INV-1035</t>
  </si>
  <si>
    <t>26</t>
  </si>
  <si>
    <t>INV-1036</t>
  </si>
  <si>
    <t>INV-1037</t>
  </si>
  <si>
    <t>INV-1038</t>
  </si>
  <si>
    <t>37</t>
  </si>
  <si>
    <t>INV-1039</t>
  </si>
  <si>
    <t>15</t>
  </si>
  <si>
    <t>INV-1040</t>
  </si>
  <si>
    <t>INV-1041</t>
  </si>
  <si>
    <t>INV-1042</t>
  </si>
  <si>
    <t>INV-1043</t>
  </si>
  <si>
    <t>INV-1044</t>
  </si>
  <si>
    <t>INV-1045</t>
  </si>
  <si>
    <t>42</t>
  </si>
  <si>
    <t>INV-1046</t>
  </si>
  <si>
    <t>Tabet</t>
  </si>
  <si>
    <t>INV-1047</t>
  </si>
  <si>
    <t>INV-1048</t>
  </si>
  <si>
    <t>INV-1049</t>
  </si>
  <si>
    <t>INV-1050</t>
  </si>
  <si>
    <t>INV-1051</t>
  </si>
  <si>
    <t>104</t>
  </si>
  <si>
    <t>INV-1052</t>
  </si>
  <si>
    <t>INV-1053</t>
  </si>
  <si>
    <t>154</t>
  </si>
  <si>
    <t>INV-1054</t>
  </si>
  <si>
    <t>140</t>
  </si>
  <si>
    <t>INV-1055</t>
  </si>
  <si>
    <t>INV-1056</t>
  </si>
  <si>
    <t>INV-1057</t>
  </si>
  <si>
    <t>INV-1058</t>
  </si>
  <si>
    <t>INV-1059</t>
  </si>
  <si>
    <t>190</t>
  </si>
  <si>
    <t>INV-1060</t>
  </si>
  <si>
    <t>INV-1061</t>
  </si>
  <si>
    <t>25</t>
  </si>
  <si>
    <t>INV-1062</t>
  </si>
  <si>
    <t>INV-1063</t>
  </si>
  <si>
    <t>32</t>
  </si>
  <si>
    <t>INV-1064</t>
  </si>
  <si>
    <t>INV-1065</t>
  </si>
  <si>
    <t>INV-1066</t>
  </si>
  <si>
    <t>29</t>
  </si>
  <si>
    <t>INV-1067</t>
  </si>
  <si>
    <t>INV-1068</t>
  </si>
  <si>
    <t>INV-1069</t>
  </si>
  <si>
    <t>INV-1070</t>
  </si>
  <si>
    <t>INV-1071</t>
  </si>
  <si>
    <t>INV-1072</t>
  </si>
  <si>
    <t>38</t>
  </si>
  <si>
    <t>INV-1073</t>
  </si>
  <si>
    <t>18</t>
  </si>
  <si>
    <t>INV-1074</t>
  </si>
  <si>
    <t>INV-1075</t>
  </si>
  <si>
    <t>INV-1076</t>
  </si>
  <si>
    <t>INV-1077</t>
  </si>
  <si>
    <t>INV-1078</t>
  </si>
  <si>
    <t>INV-1079</t>
  </si>
  <si>
    <t>INV-1080</t>
  </si>
  <si>
    <t>31</t>
  </si>
  <si>
    <t>INV-1081</t>
  </si>
  <si>
    <t>INV-1082</t>
  </si>
  <si>
    <t>INV-1083</t>
  </si>
  <si>
    <t>INV-1084</t>
  </si>
  <si>
    <t>INV-1085</t>
  </si>
  <si>
    <t>INV-1086</t>
  </si>
  <si>
    <t>INV-1087</t>
  </si>
  <si>
    <t>INV-1088</t>
  </si>
  <si>
    <t>INV-1089</t>
  </si>
  <si>
    <t>INV-1090</t>
  </si>
  <si>
    <t>INV-1091</t>
  </si>
  <si>
    <t>Accesories</t>
  </si>
  <si>
    <t>191</t>
  </si>
  <si>
    <t>INV-1092</t>
  </si>
  <si>
    <t>INV-1093</t>
  </si>
  <si>
    <t>INV-1094</t>
  </si>
  <si>
    <t>INV-1095</t>
  </si>
  <si>
    <t>INV-1096</t>
  </si>
  <si>
    <t>16</t>
  </si>
  <si>
    <t>INV-1097</t>
  </si>
  <si>
    <t>INV-1098</t>
  </si>
  <si>
    <t>89</t>
  </si>
  <si>
    <t>INV-1099</t>
  </si>
  <si>
    <t>45</t>
  </si>
  <si>
    <t>INV-1100</t>
  </si>
  <si>
    <t>Laptp</t>
  </si>
  <si>
    <t>INV-1101</t>
  </si>
  <si>
    <t>113</t>
  </si>
  <si>
    <t>INV-1102</t>
  </si>
  <si>
    <t>INV-1103</t>
  </si>
  <si>
    <t>INV-1104</t>
  </si>
  <si>
    <t>INV-1105</t>
  </si>
  <si>
    <t>27</t>
  </si>
  <si>
    <t>INV-1106</t>
  </si>
  <si>
    <t>134</t>
  </si>
  <si>
    <t>INV-1107</t>
  </si>
  <si>
    <t>INV-1108</t>
  </si>
  <si>
    <t>INV-1109</t>
  </si>
  <si>
    <t>INV-1110</t>
  </si>
  <si>
    <t>INV-1111</t>
  </si>
  <si>
    <t>23</t>
  </si>
  <si>
    <t>INV-1112</t>
  </si>
  <si>
    <t>INV-1113</t>
  </si>
  <si>
    <t>INV-1114</t>
  </si>
  <si>
    <t>INV-1115</t>
  </si>
  <si>
    <t>INV-1116</t>
  </si>
  <si>
    <t>INV-1117</t>
  </si>
  <si>
    <t>INV-1118</t>
  </si>
  <si>
    <t>133</t>
  </si>
  <si>
    <t>INV-1119</t>
  </si>
  <si>
    <t>INV-1120</t>
  </si>
  <si>
    <t>94</t>
  </si>
  <si>
    <t>Nokhba Electronics — Fixed Asset Register (as at 31 December 2024)</t>
  </si>
  <si>
    <t>Branch</t>
  </si>
  <si>
    <t>Category</t>
  </si>
  <si>
    <t>Status</t>
  </si>
  <si>
    <t>FA-001</t>
  </si>
  <si>
    <t>Delivery Vehicles - Fleet A</t>
  </si>
  <si>
    <t>Vehicles</t>
  </si>
  <si>
    <t>Straight-Line</t>
  </si>
  <si>
    <t>Active</t>
  </si>
  <si>
    <t>FA-002</t>
  </si>
  <si>
    <t>Warehouse Shelving System</t>
  </si>
  <si>
    <t>Equipment</t>
  </si>
  <si>
    <t>FA-003</t>
  </si>
  <si>
    <t>POS Systems (10 units)</t>
  </si>
  <si>
    <t>IT Equipment</t>
  </si>
  <si>
    <t>Declining Balance</t>
  </si>
  <si>
    <t>* Accum_Depr_to_2024: Multiply Annual_Depr by years in service. Verify using correct Excel depreciation functions.</t>
  </si>
  <si>
    <t>Nokhba Electronics — Trial Balance (Pre-Closing) | FY2022–FY2024</t>
  </si>
  <si>
    <t>Note: Retained Earnings shown is BEGINNING balance (before current-year net income). Each year balances: Total Debits = Total Credits.</t>
  </si>
  <si>
    <t>Account_Code</t>
  </si>
  <si>
    <t>Account_Name</t>
  </si>
  <si>
    <t>FY2022_Debit</t>
  </si>
  <si>
    <t>FY2022_Credit</t>
  </si>
  <si>
    <t>FY2023_Debit</t>
  </si>
  <si>
    <t>FY2023_Credit</t>
  </si>
  <si>
    <t>FY2024_Debit</t>
  </si>
  <si>
    <t>FY2024_Credit</t>
  </si>
  <si>
    <t>1001</t>
  </si>
  <si>
    <t>Cash &amp; Cash Equivalents</t>
  </si>
  <si>
    <t>Asset</t>
  </si>
  <si>
    <t>1100</t>
  </si>
  <si>
    <t>Accounts Receivable</t>
  </si>
  <si>
    <t>1200</t>
  </si>
  <si>
    <t>Inventory</t>
  </si>
  <si>
    <t>1500</t>
  </si>
  <si>
    <t>Fixed Assets (Net)</t>
  </si>
  <si>
    <t>2001</t>
  </si>
  <si>
    <t>Accounts Payable</t>
  </si>
  <si>
    <t>Liability</t>
  </si>
  <si>
    <t>2100</t>
  </si>
  <si>
    <t>Short-term Loans</t>
  </si>
  <si>
    <t>3001</t>
  </si>
  <si>
    <t>Share Capital</t>
  </si>
  <si>
    <t>Equity</t>
  </si>
  <si>
    <t>3002</t>
  </si>
  <si>
    <t>Retained Earnings (Beg.)</t>
  </si>
  <si>
    <t>4001</t>
  </si>
  <si>
    <t>Sales Revenue</t>
  </si>
  <si>
    <t>Revenue</t>
  </si>
  <si>
    <t>4002</t>
  </si>
  <si>
    <t>Service Revenue</t>
  </si>
  <si>
    <t>5001</t>
  </si>
  <si>
    <t>Cost of Goods Sold</t>
  </si>
  <si>
    <t>COGS</t>
  </si>
  <si>
    <t>5100</t>
  </si>
  <si>
    <t>Salaries Expense</t>
  </si>
  <si>
    <t>Operating Expense</t>
  </si>
  <si>
    <t>5200</t>
  </si>
  <si>
    <t>Rent Expense</t>
  </si>
  <si>
    <t>5300</t>
  </si>
  <si>
    <t>Utilities Expense</t>
  </si>
  <si>
    <t>5400</t>
  </si>
  <si>
    <t>Marketing Expense</t>
  </si>
  <si>
    <t>5500</t>
  </si>
  <si>
    <t>Depreciation Expense</t>
  </si>
  <si>
    <t>5600</t>
  </si>
  <si>
    <t>Interest Expense</t>
  </si>
  <si>
    <t>5700</t>
  </si>
  <si>
    <t>Miscellaneous Expense</t>
  </si>
  <si>
    <t>TOTALS</t>
  </si>
  <si>
    <t>Nokhba Electronics — Payroll Register (December 2024)</t>
  </si>
  <si>
    <t>Department</t>
  </si>
  <si>
    <t>Position</t>
  </si>
  <si>
    <t>EMP-001</t>
  </si>
  <si>
    <t>Ahmad Al-Ghamdi</t>
  </si>
  <si>
    <t>Sales</t>
  </si>
  <si>
    <t>Senior Sales Manager</t>
  </si>
  <si>
    <t>Full-time</t>
  </si>
  <si>
    <t>03/01/2018</t>
  </si>
  <si>
    <t>EMP-002</t>
  </si>
  <si>
    <t>Sara Mohammed</t>
  </si>
  <si>
    <t>Sales Manager</t>
  </si>
  <si>
    <t>07/15/2019</t>
  </si>
  <si>
    <t>EMP-003</t>
  </si>
  <si>
    <t>Khalid Ibrahim</t>
  </si>
  <si>
    <t>Branch Sales Manager</t>
  </si>
  <si>
    <t>01/20/2020</t>
  </si>
  <si>
    <t>EMP-004</t>
  </si>
  <si>
    <t>Fatima Al-Rashidi</t>
  </si>
  <si>
    <t>Finance</t>
  </si>
  <si>
    <t>CFO</t>
  </si>
  <si>
    <t>06/01/2016</t>
  </si>
  <si>
    <t>EMP-005</t>
  </si>
  <si>
    <t>Mohammed Al-Zahrani</t>
  </si>
  <si>
    <t>Senior Accountant</t>
  </si>
  <si>
    <t>09/10/2019</t>
  </si>
  <si>
    <t>EMP-006</t>
  </si>
  <si>
    <t>Nora Al-Qahtani</t>
  </si>
  <si>
    <t>HR</t>
  </si>
  <si>
    <t>HR Manager</t>
  </si>
  <si>
    <t>02/01/2020</t>
  </si>
  <si>
    <t>EMP-007</t>
  </si>
  <si>
    <t>Abdullah Salem</t>
  </si>
  <si>
    <t>Operations</t>
  </si>
  <si>
    <t>Warehouse Supervisor</t>
  </si>
  <si>
    <t>11/15/2021</t>
  </si>
  <si>
    <t>EMP-008</t>
  </si>
  <si>
    <t>Reem Al-Harbi</t>
  </si>
  <si>
    <t>Marketing</t>
  </si>
  <si>
    <t>Marketing Manager</t>
  </si>
  <si>
    <t>04/01/2021</t>
  </si>
  <si>
    <t>EMP-009</t>
  </si>
  <si>
    <t>Omar Al-Otaibi</t>
  </si>
  <si>
    <t>IT</t>
  </si>
  <si>
    <t>IT Manager</t>
  </si>
  <si>
    <t>EMP-010</t>
  </si>
  <si>
    <t>Hessa Al-Dossari</t>
  </si>
  <si>
    <t>Sales Executive</t>
  </si>
  <si>
    <t>05/20/2023</t>
  </si>
  <si>
    <t>EMP-011</t>
  </si>
  <si>
    <t>Turki Al-Shehri</t>
  </si>
  <si>
    <t>Driver</t>
  </si>
  <si>
    <t>01/10/2020</t>
  </si>
  <si>
    <t>EMP-012</t>
  </si>
  <si>
    <t>Aisha Al-Johani</t>
  </si>
  <si>
    <t>Accountant</t>
  </si>
  <si>
    <t>03/15/2022</t>
  </si>
  <si>
    <t>EMP-013</t>
  </si>
  <si>
    <t>Saad Al-Mutairi</t>
  </si>
  <si>
    <t>09/01/2023</t>
  </si>
  <si>
    <t>EMP-014</t>
  </si>
  <si>
    <t>Lina Al-Ghamdi</t>
  </si>
  <si>
    <t>Social Media Specialist</t>
  </si>
  <si>
    <t>Part-time</t>
  </si>
  <si>
    <t>06/01/2024</t>
  </si>
  <si>
    <t>Nokhba Electronics — Expansion Financing: Loan Scenario Parameters</t>
  </si>
  <si>
    <t>Loan Amount (SAR)</t>
  </si>
  <si>
    <t>Annual Interest Rate</t>
  </si>
  <si>
    <t>Loan Term (Years)</t>
  </si>
  <si>
    <t>Monthly PMT (SAR)</t>
  </si>
  <si>
    <t>Total Repayment (SAR)</t>
  </si>
  <si>
    <t>FA-001 — Delivery Vehicles – Fleet A (SLN)</t>
  </si>
  <si>
    <t>FA-002 — Warehouse Shelving System (SLN)</t>
  </si>
  <si>
    <t>FA-003 — POS Systems (10 units) (DB)</t>
  </si>
  <si>
    <t>Cost: SAR 580,000  |  Salvage: SAR 40,000  |  Life: 8 years  |  Purchase: 2022</t>
  </si>
  <si>
    <t>Cost: SAR 320,000  |  Salvage: SAR 20,000  |  Life: 10 years  |  Purchase: 2023</t>
  </si>
  <si>
    <t>Cost: SAR 180,000  |  Salvage: SAR 18,000  |  Life: 5 years  |  Purchase: 2024</t>
  </si>
  <si>
    <t>Year</t>
  </si>
  <si>
    <t>Opening NBV</t>
  </si>
  <si>
    <t>Closing NBV</t>
  </si>
  <si>
    <t>Basic Salary SAR</t>
  </si>
  <si>
    <t>Housing Allowance SAR</t>
  </si>
  <si>
    <t>Transport Allowance SAR</t>
  </si>
  <si>
    <t>Gross Salary SAR</t>
  </si>
  <si>
    <t>Income Tax SAR</t>
  </si>
  <si>
    <t>Net Salary SAR</t>
  </si>
  <si>
    <t>Employment Type</t>
  </si>
  <si>
    <t>Start Date</t>
  </si>
  <si>
    <t>Employee Name</t>
  </si>
  <si>
    <t>Employee ID</t>
  </si>
  <si>
    <t>Purchase Date</t>
  </si>
  <si>
    <t>Asset ID</t>
  </si>
  <si>
    <t>Asset Name</t>
  </si>
  <si>
    <t>Cost SAR</t>
  </si>
  <si>
    <t>Useful Life Yrs</t>
  </si>
  <si>
    <t>Salvage Value SAR</t>
  </si>
  <si>
    <t>Depreciation Method</t>
  </si>
  <si>
    <t>Annual Depr SAR</t>
  </si>
  <si>
    <t>Accumulated Depr to 2024</t>
  </si>
  <si>
    <t>Depr. Expenses</t>
  </si>
  <si>
    <t>Net Book Value (NBV)2024</t>
  </si>
  <si>
    <t>Accumulated. Depr.</t>
  </si>
  <si>
    <t>GOSI Deduction SAR( XX % of Basic)</t>
  </si>
  <si>
    <t>The company requires a SAR 1,500,000 bank loan to fund its regional expansion. Management has identified three possible financing scenarios. Use the parameters below to build Scenario tool in Excel.</t>
  </si>
  <si>
    <t>Loan cases</t>
  </si>
  <si>
    <t>Number of Monthly Payments</t>
  </si>
  <si>
    <t xml:space="preserve">PMT Claculation Formula Base Case </t>
  </si>
  <si>
    <t xml:space="preserve">PMT Claculation Formula Optimistic  Case </t>
  </si>
  <si>
    <t xml:space="preserve">PMT Claculation Formula Pessimistic Case </t>
  </si>
  <si>
    <t>LEN</t>
  </si>
  <si>
    <t>Row Labels</t>
  </si>
  <si>
    <t>Sum of Total_Sale_SAR</t>
  </si>
  <si>
    <t>Net Sales</t>
  </si>
  <si>
    <t>Gross Profit</t>
  </si>
  <si>
    <t>Operating Expenses</t>
  </si>
  <si>
    <t>Total Operating Expenses</t>
  </si>
  <si>
    <t>Operating Income</t>
  </si>
  <si>
    <t>Net Income</t>
  </si>
  <si>
    <t>2022</t>
  </si>
  <si>
    <t>Mhrm</t>
  </si>
  <si>
    <t>Safr</t>
  </si>
  <si>
    <t>Rab. II</t>
  </si>
  <si>
    <t>Jmd. I</t>
  </si>
  <si>
    <t>Jmd. II</t>
  </si>
  <si>
    <t>Rajb</t>
  </si>
  <si>
    <t>Shbn</t>
  </si>
  <si>
    <t>Rmdn</t>
  </si>
  <si>
    <t>Shwl</t>
  </si>
  <si>
    <t>Dhuʻl-Q</t>
  </si>
  <si>
    <t>Dhuʻl-H</t>
  </si>
  <si>
    <t>2023</t>
  </si>
  <si>
    <t>Rab. I</t>
  </si>
  <si>
    <t>2024</t>
  </si>
  <si>
    <t>$C$10</t>
  </si>
  <si>
    <t>$C$11</t>
  </si>
  <si>
    <t>$C$12</t>
  </si>
  <si>
    <t>$C$14</t>
  </si>
  <si>
    <t>base case</t>
  </si>
  <si>
    <t>Created by Joori AlQahtani on 01/05/2026
Modified by Joori AlQahtani on 01/05/2026</t>
  </si>
  <si>
    <t>optimistic case</t>
  </si>
  <si>
    <t>pessimistic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</si>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</sst>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quot;ر.س.‏&quot;;[Red]\-#,##0.00\ &quot;ر.س.‏&quot;"/>
    <numFmt numFmtId="165" formatCode="_-* #,##0.00_-;\-* #,##0.00_-;_-* &quot;-&quot;??_-;_-@_-"/>
    <numFmt numFmtId="166" formatCode="#,##0;\(#,##0\);\-"/>
    <numFmt numFmtId="167" formatCode="0.0%"/>
    <numFmt numFmtId="168" formatCode="#,##0\ [$SAR]"/>
    <numFmt numFmtId="169" formatCode="_-* #,##0_-;\-* #,##0_-;_-* &quot;-&quot;??_-;_-@_-"/>
    <numFmt numFmtId="170" formatCode="_(* #,##0_);_(* \(#,##0\);_(* &quot;-&quot;??_);_(@_)"/>
    <numFmt numFmtId="171" formatCode="&quot;SAR&quot;#,##0"/>
  </numFmts>
  <fonts count="23" x14ac:knownFonts="1">
    <font>
      <sz val="11"/>
      <color theme="1"/>
      <name val="Calibri"/>
      <family val="2"/>
      <charset val="1"/>
    </font>
    <font>
      <b/>
      <sz val="12"/>
      <color rgb="FF1F4E79"/>
      <name val="Arial"/>
      <family val="2"/>
    </font>
    <font>
      <b/>
      <sz val="10"/>
      <color rgb="FFFFFFFF"/>
      <name val="Arial"/>
      <family val="2"/>
    </font>
    <font>
      <sz val="10"/>
      <name val="Arial"/>
      <family val="2"/>
    </font>
    <font>
      <i/>
      <sz val="9"/>
      <color rgb="FF808080"/>
      <name val="Arial"/>
      <family val="2"/>
    </font>
    <font>
      <i/>
      <sz val="9"/>
      <color rgb="FF595959"/>
      <name val="Arial"/>
      <family val="2"/>
    </font>
    <font>
      <b/>
      <sz val="11"/>
      <color rgb="FFFFFFFF"/>
      <name val="Arial"/>
      <family val="2"/>
    </font>
    <font>
      <b/>
      <sz val="9"/>
      <color rgb="FF000000"/>
      <name val="Arial"/>
      <family val="2"/>
    </font>
    <font>
      <sz val="9"/>
      <color rgb="FF000000"/>
      <name val="Arial"/>
      <family val="2"/>
    </font>
    <font>
      <i/>
      <sz val="9"/>
      <color rgb="FF000000"/>
      <name val="Arial"/>
      <family val="2"/>
    </font>
    <font>
      <b/>
      <sz val="9"/>
      <color rgb="FFFFFFFF"/>
      <name val="Arial"/>
      <family val="2"/>
    </font>
    <font>
      <sz val="10"/>
      <color theme="1"/>
      <name val="Arial"/>
      <family val="2"/>
    </font>
    <font>
      <sz val="10"/>
      <color theme="1"/>
      <name val="Courier New"/>
      <family val="1"/>
    </font>
    <font>
      <b/>
      <i/>
      <sz val="10"/>
      <color rgb="FF595959"/>
      <name val="Arial"/>
      <family val="2"/>
    </font>
    <font>
      <sz val="11"/>
      <color theme="1"/>
      <name val="Calibri"/>
      <family val="2"/>
      <charset val="1"/>
    </font>
    <font>
      <sz val="10"/>
      <color rgb="FFFFFFFF"/>
      <name val="Arial"/>
      <family val="2"/>
    </font>
    <font>
      <b/>
      <sz val="10"/>
      <color theme="0"/>
      <name val="Arial"/>
      <family val="2"/>
    </font>
    <font>
      <u/>
      <sz val="11"/>
      <color theme="1"/>
      <name val="Calibri"/>
      <family val="2"/>
      <charset val="1"/>
    </font>
    <font>
      <b/>
      <sz val="12"/>
      <color indexed="9"/>
      <name val="Calibri"/>
      <family val="2"/>
      <charset val="1"/>
    </font>
    <font>
      <b/>
      <sz val="11"/>
      <color indexed="8"/>
      <name val="Calibri"/>
      <family val="2"/>
      <charset val="1"/>
    </font>
    <font>
      <b/>
      <sz val="11"/>
      <color indexed="18"/>
      <name val="Calibri"/>
      <family val="2"/>
      <charset val="1"/>
    </font>
    <font>
      <sz val="10"/>
      <color indexed="9"/>
      <name val="Calibri"/>
      <family val="2"/>
      <charset val="1"/>
    </font>
    <font>
      <sz val="8"/>
      <color theme="1"/>
      <name val="Calibri"/>
      <family val="2"/>
    </font>
  </fonts>
  <fills count="21">
    <fill>
      <patternFill patternType="none"/>
    </fill>
    <fill>
      <patternFill patternType="gray125"/>
    </fill>
    <fill>
      <patternFill patternType="solid">
        <fgColor rgb="FFD6E4F0"/>
        <bgColor rgb="FFE2EFDA"/>
      </patternFill>
    </fill>
    <fill>
      <patternFill patternType="solid">
        <fgColor rgb="FF1F4E79"/>
        <bgColor rgb="FF003366"/>
      </patternFill>
    </fill>
    <fill>
      <patternFill patternType="solid">
        <fgColor rgb="FFEBF3FB"/>
        <bgColor rgb="FFF2F2F2"/>
      </patternFill>
    </fill>
    <fill>
      <patternFill patternType="solid">
        <fgColor rgb="FFFFFFFF"/>
        <bgColor rgb="FFF2F2F2"/>
      </patternFill>
    </fill>
    <fill>
      <patternFill patternType="solid">
        <fgColor rgb="FFFFF2CC"/>
        <bgColor rgb="FFFCE4D6"/>
      </patternFill>
    </fill>
    <fill>
      <patternFill patternType="solid">
        <fgColor rgb="FFE2EFDA"/>
        <bgColor rgb="FFD9F2D9"/>
      </patternFill>
    </fill>
    <fill>
      <patternFill patternType="solid">
        <fgColor rgb="FFD9F2D9"/>
        <bgColor rgb="FFE2EFDA"/>
      </patternFill>
    </fill>
    <fill>
      <patternFill patternType="solid">
        <fgColor rgb="FFFCE4D6"/>
        <bgColor rgb="FFFFF2CC"/>
      </patternFill>
    </fill>
    <fill>
      <patternFill patternType="solid">
        <fgColor rgb="FF2E75B6"/>
        <bgColor rgb="FF0066CC"/>
      </patternFill>
    </fill>
    <fill>
      <patternFill patternType="solid">
        <fgColor rgb="FF375623"/>
        <bgColor rgb="FF595959"/>
      </patternFill>
    </fill>
    <fill>
      <patternFill patternType="solid">
        <fgColor rgb="FFF2F2F2"/>
        <bgColor rgb="FFEBF3FB"/>
      </patternFill>
    </fill>
    <fill>
      <patternFill patternType="solid">
        <fgColor rgb="FF843C0C"/>
        <bgColor rgb="FF7B3F00"/>
      </patternFill>
    </fill>
    <fill>
      <patternFill patternType="solid">
        <fgColor rgb="FFEBF4FB"/>
        <bgColor indexed="64"/>
      </patternFill>
    </fill>
    <fill>
      <patternFill patternType="solid">
        <fgColor theme="0"/>
        <bgColor rgb="FF003366"/>
      </patternFill>
    </fill>
    <fill>
      <patternFill patternType="solid">
        <fgColor theme="0"/>
        <bgColor rgb="FFF2F2F2"/>
      </patternFill>
    </fill>
    <fill>
      <patternFill patternType="solid">
        <fgColor theme="3"/>
        <bgColor rgb="FFF2F2F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medium">
        <color rgb="FF2E75B6"/>
      </left>
      <right style="medium">
        <color rgb="FF2E75B6"/>
      </right>
      <top style="medium">
        <color rgb="FF2E75B6"/>
      </top>
      <bottom style="medium">
        <color rgb="FF2E75B6"/>
      </bottom>
      <diagonal/>
    </border>
    <border>
      <left style="thin">
        <color rgb="FFBFBFBF"/>
      </left>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top style="thin">
        <color rgb="FFBFBFBF"/>
      </top>
      <bottom/>
      <diagonal/>
    </border>
  </borders>
  <cellStyleXfs count="3">
    <xf numFmtId="0" fontId="0" fillId="0" borderId="0"/>
    <xf numFmtId="165" fontId="14" fillId="0" borderId="0" applyFont="0" applyFill="0" applyBorder="0" applyAlignment="0" applyProtection="0"/>
    <xf numFmtId="9" fontId="14" fillId="0" borderId="0" applyFont="0" applyFill="0" applyBorder="0" applyAlignment="0" applyProtection="0"/>
  </cellStyleXfs>
  <cellXfs count="107">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xf>
    <xf numFmtId="3" fontId="3" fillId="4" borderId="1" xfId="0" applyNumberFormat="1" applyFont="1" applyFill="1" applyBorder="1" applyAlignment="1">
      <alignment horizontal="left" vertical="center"/>
    </xf>
    <xf numFmtId="0" fontId="3" fillId="5" borderId="1" xfId="0" applyFont="1" applyFill="1" applyBorder="1" applyAlignment="1">
      <alignment horizontal="left" vertical="center"/>
    </xf>
    <xf numFmtId="3" fontId="3" fillId="5" borderId="1" xfId="0" applyNumberFormat="1" applyFont="1" applyFill="1" applyBorder="1" applyAlignment="1">
      <alignment horizontal="left" vertical="center"/>
    </xf>
    <xf numFmtId="0" fontId="3" fillId="4" borderId="1" xfId="0" applyFont="1" applyFill="1" applyBorder="1" applyAlignment="1">
      <alignment horizontal="center" vertical="center"/>
    </xf>
    <xf numFmtId="14" fontId="3" fillId="4"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4" fontId="3" fillId="5" borderId="1" xfId="0"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166" fontId="3" fillId="4" borderId="1" xfId="0" applyNumberFormat="1" applyFont="1" applyFill="1" applyBorder="1" applyAlignment="1">
      <alignment horizontal="right" vertical="center"/>
    </xf>
    <xf numFmtId="0" fontId="3" fillId="6" borderId="1" xfId="0" applyFont="1" applyFill="1" applyBorder="1" applyAlignment="1">
      <alignment horizontal="left" vertical="center"/>
    </xf>
    <xf numFmtId="166" fontId="3" fillId="6" borderId="1" xfId="0" applyNumberFormat="1" applyFont="1" applyFill="1" applyBorder="1" applyAlignment="1">
      <alignment horizontal="right" vertical="center"/>
    </xf>
    <xf numFmtId="0" fontId="3" fillId="7" borderId="1" xfId="0" applyFont="1" applyFill="1" applyBorder="1" applyAlignment="1">
      <alignment horizontal="left" vertical="center"/>
    </xf>
    <xf numFmtId="166" fontId="3" fillId="7" borderId="1" xfId="0" applyNumberFormat="1" applyFont="1" applyFill="1" applyBorder="1" applyAlignment="1">
      <alignment horizontal="right" vertical="center"/>
    </xf>
    <xf numFmtId="0" fontId="3" fillId="8" borderId="1" xfId="0" applyFont="1" applyFill="1" applyBorder="1" applyAlignment="1">
      <alignment horizontal="left" vertical="center"/>
    </xf>
    <xf numFmtId="166" fontId="3" fillId="8" borderId="1" xfId="0" applyNumberFormat="1" applyFont="1" applyFill="1" applyBorder="1" applyAlignment="1">
      <alignment horizontal="right" vertical="center"/>
    </xf>
    <xf numFmtId="0" fontId="3" fillId="9" borderId="1" xfId="0" applyFont="1" applyFill="1" applyBorder="1" applyAlignment="1">
      <alignment horizontal="left" vertical="center"/>
    </xf>
    <xf numFmtId="166" fontId="3" fillId="9" borderId="1" xfId="0" applyNumberFormat="1" applyFont="1" applyFill="1" applyBorder="1" applyAlignment="1">
      <alignment horizontal="right" vertical="center"/>
    </xf>
    <xf numFmtId="0" fontId="2" fillId="3" borderId="2" xfId="0" applyFont="1" applyFill="1" applyBorder="1"/>
    <xf numFmtId="3" fontId="2" fillId="3" borderId="2" xfId="0" applyNumberFormat="1" applyFont="1" applyFill="1" applyBorder="1" applyAlignment="1">
      <alignment horizontal="right" vertical="center"/>
    </xf>
    <xf numFmtId="37" fontId="8" fillId="5" borderId="1" xfId="0" applyNumberFormat="1" applyFont="1" applyFill="1" applyBorder="1" applyAlignment="1">
      <alignment horizontal="right" vertical="center"/>
    </xf>
    <xf numFmtId="167" fontId="8" fillId="5" borderId="1" xfId="0" applyNumberFormat="1" applyFont="1" applyFill="1" applyBorder="1" applyAlignment="1">
      <alignment horizontal="right" vertical="center"/>
    </xf>
    <xf numFmtId="1" fontId="8" fillId="5" borderId="1" xfId="0" applyNumberFormat="1" applyFont="1" applyFill="1" applyBorder="1" applyAlignment="1">
      <alignment horizontal="right" vertical="center"/>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1" fontId="8" fillId="0" borderId="1" xfId="0" applyNumberFormat="1" applyFont="1" applyBorder="1" applyAlignment="1">
      <alignment horizontal="center" vertical="center"/>
    </xf>
    <xf numFmtId="37" fontId="8" fillId="0" borderId="1" xfId="0" applyNumberFormat="1" applyFont="1" applyBorder="1" applyAlignment="1">
      <alignment horizontal="right" vertical="center"/>
    </xf>
    <xf numFmtId="3" fontId="3" fillId="4" borderId="3" xfId="0" applyNumberFormat="1" applyFont="1" applyFill="1" applyBorder="1" applyAlignment="1">
      <alignment horizontal="center" vertical="center"/>
    </xf>
    <xf numFmtId="3" fontId="3" fillId="5" borderId="3" xfId="0" applyNumberFormat="1" applyFont="1" applyFill="1" applyBorder="1" applyAlignment="1">
      <alignment horizontal="center" vertical="center"/>
    </xf>
    <xf numFmtId="3" fontId="3" fillId="4" borderId="5" xfId="0" applyNumberFormat="1" applyFont="1" applyFill="1" applyBorder="1" applyAlignment="1">
      <alignment horizontal="center" vertical="center"/>
    </xf>
    <xf numFmtId="3" fontId="3" fillId="5" borderId="5" xfId="0" applyNumberFormat="1" applyFont="1" applyFill="1" applyBorder="1" applyAlignment="1">
      <alignment horizontal="center" vertical="center"/>
    </xf>
    <xf numFmtId="0" fontId="2" fillId="3" borderId="6" xfId="0" applyFont="1" applyFill="1" applyBorder="1" applyAlignment="1">
      <alignment horizontal="center" vertical="center" wrapText="1"/>
    </xf>
    <xf numFmtId="3" fontId="11" fillId="14" borderId="4" xfId="0" applyNumberFormat="1" applyFont="1" applyFill="1" applyBorder="1"/>
    <xf numFmtId="3" fontId="11" fillId="0" borderId="4" xfId="0" applyNumberFormat="1" applyFont="1" applyBorder="1"/>
    <xf numFmtId="0" fontId="12" fillId="0" borderId="0" xfId="0" applyFont="1" applyAlignment="1">
      <alignment horizontal="left" vertical="center" indent="12"/>
    </xf>
    <xf numFmtId="0" fontId="5" fillId="0" borderId="0" xfId="0" applyFont="1" applyAlignment="1">
      <alignment horizontal="left" vertical="center"/>
    </xf>
    <xf numFmtId="1" fontId="5" fillId="0" borderId="1" xfId="0" applyNumberFormat="1" applyFont="1" applyBorder="1" applyAlignment="1">
      <alignment horizontal="right" vertical="center"/>
    </xf>
    <xf numFmtId="37" fontId="5" fillId="0" borderId="1" xfId="0" applyNumberFormat="1" applyFont="1" applyBorder="1" applyAlignment="1">
      <alignment horizontal="right" vertical="center"/>
    </xf>
    <xf numFmtId="0" fontId="13" fillId="0" borderId="4" xfId="0" applyFont="1" applyBorder="1" applyAlignment="1">
      <alignment horizontal="left" vertical="center"/>
    </xf>
    <xf numFmtId="0" fontId="15" fillId="15" borderId="1"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3" fillId="16" borderId="1" xfId="0" applyFont="1" applyFill="1" applyBorder="1" applyAlignment="1">
      <alignment horizontal="right" vertical="center"/>
    </xf>
    <xf numFmtId="0" fontId="3" fillId="5" borderId="1" xfId="0" applyFont="1" applyFill="1" applyBorder="1" applyAlignment="1">
      <alignment horizontal="right" vertical="center"/>
    </xf>
    <xf numFmtId="0" fontId="16" fillId="17" borderId="1" xfId="0" applyFont="1" applyFill="1" applyBorder="1" applyAlignment="1">
      <alignment horizontal="center" vertical="center"/>
    </xf>
    <xf numFmtId="168" fontId="3" fillId="5" borderId="1" xfId="0" applyNumberFormat="1" applyFont="1" applyFill="1" applyBorder="1" applyAlignment="1">
      <alignment horizontal="center" vertical="center"/>
    </xf>
    <xf numFmtId="168" fontId="3" fillId="5" borderId="1" xfId="1" applyNumberFormat="1" applyFont="1" applyFill="1" applyBorder="1" applyAlignment="1">
      <alignment horizontal="center" vertical="center"/>
    </xf>
    <xf numFmtId="168" fontId="3" fillId="4"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xf>
    <xf numFmtId="0" fontId="17" fillId="0" borderId="0" xfId="0" applyFont="1" applyAlignment="1">
      <alignment horizontal="center" vertical="center"/>
    </xf>
    <xf numFmtId="9" fontId="0" fillId="0" borderId="0" xfId="0" applyNumberFormat="1" applyAlignment="1">
      <alignment horizontal="center" vertical="center"/>
    </xf>
    <xf numFmtId="0" fontId="0" fillId="0" borderId="0" xfId="0" applyAlignment="1">
      <alignment horizontal="left" vertical="center"/>
    </xf>
    <xf numFmtId="169" fontId="0" fillId="0" borderId="0" xfId="1" applyNumberFormat="1" applyFont="1"/>
    <xf numFmtId="169" fontId="0" fillId="0" borderId="0" xfId="0" applyNumberFormat="1"/>
    <xf numFmtId="170" fontId="0" fillId="0" borderId="0" xfId="0" applyNumberFormat="1"/>
    <xf numFmtId="170" fontId="0" fillId="0" borderId="0" xfId="1" applyNumberFormat="1" applyFont="1"/>
    <xf numFmtId="0" fontId="3" fillId="0" borderId="0" xfId="0" applyFont="1" applyAlignment="1">
      <alignment horizontal="left" vertical="center"/>
    </xf>
    <xf numFmtId="166" fontId="3" fillId="0" borderId="0" xfId="0" applyNumberFormat="1" applyFont="1" applyAlignment="1">
      <alignment horizontal="right" vertical="center"/>
    </xf>
    <xf numFmtId="166" fontId="0" fillId="0" borderId="0" xfId="0" applyNumberFormat="1"/>
    <xf numFmtId="9" fontId="0" fillId="0" borderId="0" xfId="2" applyFont="1"/>
    <xf numFmtId="169" fontId="0" fillId="0" borderId="0" xfId="0" applyNumberFormat="1" applyAlignment="1">
      <alignment horizontal="center" vertical="center"/>
    </xf>
    <xf numFmtId="164" fontId="5" fillId="0" borderId="4" xfId="0" applyNumberFormat="1" applyFont="1" applyBorder="1" applyAlignment="1">
      <alignment horizontal="left" vertical="center"/>
    </xf>
    <xf numFmtId="14" fontId="3" fillId="4" borderId="1" xfId="0" applyNumberFormat="1" applyFont="1" applyFill="1" applyBorder="1" applyAlignment="1">
      <alignment horizontal="left" vertical="center"/>
    </xf>
    <xf numFmtId="14" fontId="3" fillId="5" borderId="1" xfId="0" applyNumberFormat="1" applyFont="1" applyFill="1" applyBorder="1" applyAlignment="1">
      <alignment horizontal="left" vertical="center"/>
    </xf>
    <xf numFmtId="171" fontId="0" fillId="0" borderId="0" xfId="0" applyNumberFormat="1"/>
    <xf numFmtId="14" fontId="0" fillId="0" borderId="0" xfId="0" applyNumberFormat="1" applyAlignment="1">
      <alignment horizontal="left" indent="1"/>
    </xf>
    <xf numFmtId="167" fontId="0" fillId="0" borderId="0" xfId="0" applyNumberFormat="1"/>
    <xf numFmtId="1" fontId="0" fillId="0" borderId="0" xfId="0" applyNumberFormat="1"/>
    <xf numFmtId="37" fontId="0" fillId="0" borderId="9" xfId="0" applyNumberFormat="1" applyBorder="1"/>
    <xf numFmtId="0" fontId="18" fillId="18" borderId="10" xfId="0" applyFont="1" applyFill="1" applyBorder="1" applyAlignment="1">
      <alignment horizontal="left"/>
    </xf>
    <xf numFmtId="0" fontId="18" fillId="18" borderId="8" xfId="0" applyFont="1" applyFill="1" applyBorder="1" applyAlignment="1">
      <alignment horizontal="left"/>
    </xf>
    <xf numFmtId="0" fontId="0" fillId="0" borderId="11" xfId="0" applyBorder="1"/>
    <xf numFmtId="0" fontId="19" fillId="19" borderId="0" xfId="0" applyFont="1" applyFill="1" applyAlignment="1">
      <alignment horizontal="left"/>
    </xf>
    <xf numFmtId="0" fontId="20" fillId="19" borderId="11" xfId="0" applyFont="1" applyFill="1" applyBorder="1" applyAlignment="1">
      <alignment horizontal="left"/>
    </xf>
    <xf numFmtId="0" fontId="19" fillId="19" borderId="9" xfId="0" applyFont="1" applyFill="1" applyBorder="1" applyAlignment="1">
      <alignment horizontal="left"/>
    </xf>
    <xf numFmtId="0" fontId="21" fillId="18" borderId="8" xfId="0" applyFont="1" applyFill="1" applyBorder="1" applyAlignment="1">
      <alignment horizontal="right"/>
    </xf>
    <xf numFmtId="0" fontId="21" fillId="18" borderId="10" xfId="0" applyFont="1" applyFill="1" applyBorder="1" applyAlignment="1">
      <alignment horizontal="right"/>
    </xf>
    <xf numFmtId="167" fontId="0" fillId="20" borderId="0" xfId="0" applyNumberFormat="1" applyFill="1"/>
    <xf numFmtId="1" fontId="0" fillId="20" borderId="0" xfId="0" applyNumberFormat="1" applyFill="1"/>
    <xf numFmtId="0" fontId="22" fillId="0" borderId="0" xfId="0" applyFont="1" applyAlignment="1">
      <alignment vertical="top" wrapText="1"/>
    </xf>
    <xf numFmtId="0" fontId="1" fillId="2" borderId="0" xfId="0" applyFont="1" applyFill="1" applyAlignment="1">
      <alignment horizontal="center" vertical="center"/>
    </xf>
    <xf numFmtId="0" fontId="5" fillId="4" borderId="0" xfId="0" applyFont="1" applyFill="1" applyAlignment="1">
      <alignment horizontal="left" vertical="center" wrapText="1"/>
    </xf>
    <xf numFmtId="0" fontId="6" fillId="10" borderId="0" xfId="0" applyFont="1" applyFill="1" applyAlignment="1">
      <alignment horizontal="center" vertical="center"/>
    </xf>
    <xf numFmtId="0" fontId="7" fillId="12" borderId="3" xfId="0" applyFont="1" applyFill="1" applyBorder="1" applyAlignment="1">
      <alignment horizontal="left" vertical="center"/>
    </xf>
    <xf numFmtId="0" fontId="4" fillId="0" borderId="0" xfId="0" applyFont="1" applyAlignment="1">
      <alignment horizontal="left" vertical="center"/>
    </xf>
    <xf numFmtId="0" fontId="9" fillId="12" borderId="0" xfId="0" applyFont="1" applyFill="1" applyAlignment="1">
      <alignment horizontal="left" vertical="center"/>
    </xf>
    <xf numFmtId="0" fontId="4" fillId="0" borderId="0" xfId="0" applyFont="1"/>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3" borderId="0" xfId="0" applyFont="1" applyFill="1" applyAlignment="1">
      <alignment horizontal="center" vertical="center"/>
    </xf>
    <xf numFmtId="0" fontId="3" fillId="5" borderId="5" xfId="0" applyFont="1" applyFill="1" applyBorder="1" applyAlignment="1">
      <alignment horizontal="left" vertical="center"/>
    </xf>
    <xf numFmtId="0" fontId="3" fillId="4" borderId="5" xfId="0" applyFont="1" applyFill="1" applyBorder="1" applyAlignment="1">
      <alignment horizontal="left" vertical="center"/>
    </xf>
    <xf numFmtId="168" fontId="3" fillId="5" borderId="3" xfId="1" applyNumberFormat="1" applyFont="1" applyFill="1" applyBorder="1" applyAlignment="1">
      <alignment horizontal="center" vertical="center"/>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3" fillId="5" borderId="15" xfId="0" applyFont="1" applyFill="1" applyBorder="1" applyAlignment="1">
      <alignment horizontal="left" vertical="center"/>
    </xf>
    <xf numFmtId="14" fontId="3" fillId="5" borderId="6" xfId="0" applyNumberFormat="1" applyFont="1" applyFill="1" applyBorder="1" applyAlignment="1">
      <alignment horizontal="left" vertical="center"/>
    </xf>
    <xf numFmtId="0" fontId="3" fillId="4" borderId="6" xfId="0" applyFont="1" applyFill="1" applyBorder="1" applyAlignment="1">
      <alignment horizontal="left" vertical="center"/>
    </xf>
    <xf numFmtId="0" fontId="3" fillId="5" borderId="6" xfId="0" applyFont="1" applyFill="1" applyBorder="1" applyAlignment="1">
      <alignment horizontal="left" vertical="center"/>
    </xf>
    <xf numFmtId="168" fontId="3" fillId="5" borderId="6" xfId="0" applyNumberFormat="1" applyFont="1" applyFill="1" applyBorder="1" applyAlignment="1">
      <alignment horizontal="center" vertical="center"/>
    </xf>
    <xf numFmtId="168" fontId="3" fillId="5" borderId="16" xfId="1" applyNumberFormat="1" applyFont="1" applyFill="1" applyBorder="1" applyAlignment="1">
      <alignment horizontal="center" vertical="center"/>
    </xf>
  </cellXfs>
  <cellStyles count="3">
    <cellStyle name="Comma" xfId="1" builtinId="3"/>
    <cellStyle name="Normal" xfId="0" builtinId="0"/>
    <cellStyle name="Percent" xfId="2" builtinId="5"/>
  </cellStyles>
  <dxfs count="13">
    <dxf>
      <font>
        <b/>
        <i val="0"/>
        <strike val="0"/>
        <condense val="0"/>
        <extend val="0"/>
        <outline val="0"/>
        <shadow val="0"/>
        <u val="none"/>
        <vertAlign val="baseline"/>
        <sz val="10"/>
        <color rgb="FFFFFFFF"/>
        <name val="Arial"/>
        <family val="2"/>
        <scheme val="none"/>
      </font>
      <fill>
        <patternFill patternType="solid">
          <fgColor rgb="FF003366"/>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family val="2"/>
        <scheme val="none"/>
      </font>
      <fill>
        <patternFill patternType="solid">
          <fgColor rgb="FFF2F2F2"/>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8" formatCode="#,##0\ [$SAR]"/>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8" formatCode="#,##0\ [$SAR]"/>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2F2F2"/>
          <bgColor rgb="FFEBF3FB"/>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2F2F2"/>
          <bgColor rgb="FFFFFFFF"/>
        </patternFill>
      </fill>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D9F2D9"/>
      <rgbColor rgb="FFF2F2F2"/>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843C0C"/>
      <rgbColor rgb="FF993366"/>
      <rgbColor rgb="FF1F4E79"/>
      <rgbColor rgb="FF375623"/>
      <rgbColor rgb="00003366"/>
      <rgbColor rgb="00339966"/>
      <rgbColor rgb="00003300"/>
      <rgbColor rgb="00333300"/>
      <rgbColor rgb="00993300"/>
      <rgbColor rgb="00993366"/>
      <rgbColor rgb="00333399"/>
      <rgbColor rgb="00333333"/>
    </indexedColors>
    <mruColors>
      <color rgb="FFEBF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[Nokhba_Raw_Sale, (1).xlsx]Pivot Table !PivotTable17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pivotFmt>
      <c:pivotFmt>
        <c:idx val="2"/>
        <c:spPr>
          <a:solidFill>
            <a:schemeClr val="accent5">
              <a:lumMod val="40000"/>
              <a:lumOff val="60000"/>
            </a:schemeClr>
          </a:solidFill>
          <a:ln>
            <a:noFill/>
          </a:ln>
          <a:effectLst/>
        </c:spPr>
      </c:pivotFmt>
      <c:pivotFmt>
        <c:idx val="3"/>
        <c:spPr>
          <a:solidFill>
            <a:schemeClr val="accent4">
              <a:lumMod val="40000"/>
              <a:lumOff val="6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3">
              <a:lumMod val="40000"/>
              <a:lumOff val="60000"/>
            </a:schemeClr>
          </a:solidFill>
          <a:ln>
            <a:noFill/>
          </a:ln>
          <a:effectLst/>
        </c:spPr>
      </c:pivotFmt>
    </c:pivotFmts>
    <c:plotArea>
      <c:layout/>
      <c:barChart>
        <c:barDir val="col"/>
        <c:grouping val="clustered"/>
        <c:varyColors val="0"/>
        <c:ser>
          <c:idx val="0"/>
          <c:order val="0"/>
          <c:tx>
            <c:strRef>
              <c:f>'Pivot Table '!$L$3</c:f>
              <c:strCache>
                <c:ptCount val="1"/>
                <c:pt idx="0">
                  <c:v>Total</c:v>
                </c:pt>
              </c:strCache>
            </c:strRef>
          </c:tx>
          <c:spPr>
            <a:solidFill>
              <a:schemeClr val="accent2">
                <a:lumMod val="20000"/>
                <a:lumOff val="80000"/>
              </a:schemeClr>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6-ECE1-9643-BE04-987874A5FC30}"/>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ECE1-9643-BE04-987874A5FC30}"/>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ECE1-9643-BE04-987874A5FC3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ECE1-9643-BE04-987874A5FC30}"/>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ECE1-9643-BE04-987874A5FC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'!$K$4:$K$8</c:f>
              <c:strCache>
                <c:ptCount val="5"/>
                <c:pt idx="0">
                  <c:v>Dammam</c:v>
                </c:pt>
                <c:pt idx="1">
                  <c:v>Jeddah</c:v>
                </c:pt>
                <c:pt idx="2">
                  <c:v>Jubail</c:v>
                </c:pt>
                <c:pt idx="3">
                  <c:v>Khobar</c:v>
                </c:pt>
                <c:pt idx="4">
                  <c:v>Riyadh</c:v>
                </c:pt>
              </c:strCache>
            </c:strRef>
          </c:cat>
          <c:val>
            <c:numRef>
              <c:f>'Pivot Table '!$L$4:$L$8</c:f>
              <c:numCache>
                <c:formatCode>"SAR"#,##0</c:formatCode>
                <c:ptCount val="5"/>
                <c:pt idx="0">
                  <c:v>1697350</c:v>
                </c:pt>
                <c:pt idx="1">
                  <c:v>2252600</c:v>
                </c:pt>
                <c:pt idx="2">
                  <c:v>1616200</c:v>
                </c:pt>
                <c:pt idx="3">
                  <c:v>2112400</c:v>
                </c:pt>
                <c:pt idx="4">
                  <c:v>1949550</c:v>
                </c:pt>
              </c:numCache>
            </c:numRef>
          </c:val>
          <c:extLst>
            <c:ext xmlns:c16="http://schemas.microsoft.com/office/drawing/2014/chart" uri="{C3380CC4-5D6E-409C-BE32-E72D297353CC}">
              <c16:uniqueId val="{00000000-ECE1-9643-BE04-987874A5FC30}"/>
            </c:ext>
          </c:extLst>
        </c:ser>
        <c:dLbls>
          <c:dLblPos val="outEnd"/>
          <c:showLegendKey val="0"/>
          <c:showVal val="1"/>
          <c:showCatName val="0"/>
          <c:showSerName val="0"/>
          <c:showPercent val="0"/>
          <c:showBubbleSize val="0"/>
        </c:dLbls>
        <c:gapWidth val="219"/>
        <c:overlap val="-27"/>
        <c:axId val="1900856351"/>
        <c:axId val="1876868367"/>
      </c:barChart>
      <c:catAx>
        <c:axId val="1900856351"/>
        <c:scaling>
          <c:orientation val="minMax"/>
        </c:scaling>
        <c:delete val="1"/>
        <c:axPos val="b"/>
        <c:numFmt formatCode="General" sourceLinked="1"/>
        <c:majorTickMark val="none"/>
        <c:minorTickMark val="none"/>
        <c:tickLblPos val="nextTo"/>
        <c:crossAx val="1876868367"/>
        <c:crosses val="autoZero"/>
        <c:auto val="1"/>
        <c:lblAlgn val="ctr"/>
        <c:lblOffset val="100"/>
        <c:noMultiLvlLbl val="0"/>
      </c:catAx>
      <c:valAx>
        <c:axId val="1876868367"/>
        <c:scaling>
          <c:orientation val="minMax"/>
        </c:scaling>
        <c:delete val="1"/>
        <c:axPos val="l"/>
        <c:majorGridlines>
          <c:spPr>
            <a:ln w="9525" cap="flat" cmpd="sng" algn="ctr">
              <a:solidFill>
                <a:schemeClr val="tx1">
                  <a:lumMod val="15000"/>
                  <a:lumOff val="85000"/>
                </a:schemeClr>
              </a:solidFill>
              <a:round/>
            </a:ln>
            <a:effectLst/>
          </c:spPr>
        </c:majorGridlines>
        <c:numFmt formatCode="&quot;SAR&quot;#,##0" sourceLinked="1"/>
        <c:majorTickMark val="none"/>
        <c:minorTickMark val="none"/>
        <c:tickLblPos val="nextTo"/>
        <c:crossAx val="190085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[Nokhba_Raw_Sale, (1).xlsx]Pivot Table !PivotTable18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Revenur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5">
              <a:lumMod val="20000"/>
              <a:lumOff val="80000"/>
            </a:schemeClr>
          </a:solidFill>
          <a:ln>
            <a:noFill/>
          </a:ln>
          <a:effectLst/>
        </c:spPr>
      </c:pivotFmt>
      <c:pivotFmt>
        <c:idx val="3"/>
        <c:spPr>
          <a:solidFill>
            <a:schemeClr val="accent4">
              <a:lumMod val="20000"/>
              <a:lumOff val="80000"/>
            </a:schemeClr>
          </a:solidFill>
          <a:ln>
            <a:noFill/>
          </a:ln>
          <a:effectLst/>
        </c:spPr>
      </c:pivotFmt>
      <c:pivotFmt>
        <c:idx val="4"/>
        <c:spPr>
          <a:solidFill>
            <a:schemeClr val="accent1">
              <a:lumMod val="20000"/>
              <a:lumOff val="80000"/>
            </a:schemeClr>
          </a:solidFill>
          <a:ln>
            <a:noFill/>
          </a:ln>
          <a:effectLst/>
        </c:spPr>
      </c:pivotFmt>
      <c:pivotFmt>
        <c:idx val="5"/>
        <c:spPr>
          <a:solidFill>
            <a:schemeClr val="tx2">
              <a:lumMod val="20000"/>
              <a:lumOff val="80000"/>
            </a:schemeClr>
          </a:solidFill>
          <a:ln>
            <a:noFill/>
          </a:ln>
          <a:effectLst/>
        </c:spPr>
      </c:pivotFmt>
    </c:pivotFmts>
    <c:plotArea>
      <c:layout/>
      <c:barChart>
        <c:barDir val="col"/>
        <c:grouping val="clustered"/>
        <c:varyColors val="0"/>
        <c:ser>
          <c:idx val="0"/>
          <c:order val="0"/>
          <c:tx>
            <c:strRef>
              <c:f>'Pivot Table '!$Q$3</c:f>
              <c:strCache>
                <c:ptCount val="1"/>
                <c:pt idx="0">
                  <c:v>Total</c:v>
                </c:pt>
              </c:strCache>
            </c:strRef>
          </c:tx>
          <c:spPr>
            <a:solidFill>
              <a:schemeClr val="accent6">
                <a:lumMod val="20000"/>
                <a:lumOff val="80000"/>
              </a:schemeClr>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4ABC-5749-884F-9987F71A070B}"/>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4ABC-5749-884F-9987F71A070B}"/>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4ABC-5749-884F-9987F71A070B}"/>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4ABC-5749-884F-9987F71A07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'!$P$4:$P$8</c:f>
              <c:strCache>
                <c:ptCount val="5"/>
                <c:pt idx="0">
                  <c:v>Accessories</c:v>
                </c:pt>
                <c:pt idx="1">
                  <c:v>Laptop</c:v>
                </c:pt>
                <c:pt idx="2">
                  <c:v>Phone</c:v>
                </c:pt>
                <c:pt idx="3">
                  <c:v>Printer</c:v>
                </c:pt>
                <c:pt idx="4">
                  <c:v>Tablet</c:v>
                </c:pt>
              </c:strCache>
            </c:strRef>
          </c:cat>
          <c:val>
            <c:numRef>
              <c:f>'Pivot Table '!$Q$4:$Q$8</c:f>
              <c:numCache>
                <c:formatCode>"SAR"#,##0</c:formatCode>
                <c:ptCount val="5"/>
                <c:pt idx="0">
                  <c:v>1363400</c:v>
                </c:pt>
                <c:pt idx="1">
                  <c:v>2586550</c:v>
                </c:pt>
                <c:pt idx="2">
                  <c:v>1454700</c:v>
                </c:pt>
                <c:pt idx="3">
                  <c:v>2161750</c:v>
                </c:pt>
                <c:pt idx="4">
                  <c:v>2061700</c:v>
                </c:pt>
              </c:numCache>
            </c:numRef>
          </c:val>
          <c:extLst>
            <c:ext xmlns:c16="http://schemas.microsoft.com/office/drawing/2014/chart" uri="{C3380CC4-5D6E-409C-BE32-E72D297353CC}">
              <c16:uniqueId val="{00000000-4ABC-5749-884F-9987F71A070B}"/>
            </c:ext>
          </c:extLst>
        </c:ser>
        <c:dLbls>
          <c:dLblPos val="outEnd"/>
          <c:showLegendKey val="0"/>
          <c:showVal val="1"/>
          <c:showCatName val="0"/>
          <c:showSerName val="0"/>
          <c:showPercent val="0"/>
          <c:showBubbleSize val="0"/>
        </c:dLbls>
        <c:gapWidth val="219"/>
        <c:overlap val="-27"/>
        <c:axId val="1895497663"/>
        <c:axId val="1966675903"/>
      </c:barChart>
      <c:catAx>
        <c:axId val="1895497663"/>
        <c:scaling>
          <c:orientation val="minMax"/>
        </c:scaling>
        <c:delete val="1"/>
        <c:axPos val="b"/>
        <c:numFmt formatCode="General" sourceLinked="1"/>
        <c:majorTickMark val="none"/>
        <c:minorTickMark val="none"/>
        <c:tickLblPos val="nextTo"/>
        <c:crossAx val="1966675903"/>
        <c:crosses val="autoZero"/>
        <c:auto val="1"/>
        <c:lblAlgn val="ctr"/>
        <c:lblOffset val="100"/>
        <c:noMultiLvlLbl val="0"/>
      </c:catAx>
      <c:valAx>
        <c:axId val="1966675903"/>
        <c:scaling>
          <c:orientation val="minMax"/>
        </c:scaling>
        <c:delete val="1"/>
        <c:axPos val="l"/>
        <c:majorGridlines>
          <c:spPr>
            <a:ln w="9525" cap="flat" cmpd="sng" algn="ctr">
              <a:solidFill>
                <a:schemeClr val="tx1">
                  <a:lumMod val="15000"/>
                  <a:lumOff val="85000"/>
                </a:schemeClr>
              </a:solidFill>
              <a:round/>
            </a:ln>
            <a:effectLst/>
          </c:spPr>
        </c:majorGridlines>
        <c:numFmt formatCode="&quot;SAR&quot;#,##0" sourceLinked="1"/>
        <c:majorTickMark val="none"/>
        <c:minorTickMark val="none"/>
        <c:tickLblPos val="nextTo"/>
        <c:crossAx val="189549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[Nokhba_Raw_Sale, (1).xlsx]Pivot Table !PivotTable19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Client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2">
              <a:lumMod val="60000"/>
              <a:lumOff val="40000"/>
            </a:schemeClr>
          </a:solidFill>
          <a:ln>
            <a:noFill/>
          </a:ln>
          <a:effectLst/>
        </c:spPr>
      </c:pivotFmt>
    </c:pivotFmts>
    <c:plotArea>
      <c:layout/>
      <c:barChart>
        <c:barDir val="col"/>
        <c:grouping val="clustered"/>
        <c:varyColors val="0"/>
        <c:ser>
          <c:idx val="0"/>
          <c:order val="0"/>
          <c:tx>
            <c:strRef>
              <c:f>'Pivot Table '!$L$27</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86DD-4940-B372-DF344694F090}"/>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86DD-4940-B372-DF344694F090}"/>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86DD-4940-B372-DF344694F090}"/>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86DD-4940-B372-DF344694F090}"/>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86DD-4940-B372-DF344694F0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'!$K$28:$K$32</c:f>
              <c:strCache>
                <c:ptCount val="5"/>
                <c:pt idx="0">
                  <c:v>Al Rajhi</c:v>
                </c:pt>
                <c:pt idx="1">
                  <c:v>Almarai</c:v>
                </c:pt>
                <c:pt idx="2">
                  <c:v>Aramco</c:v>
                </c:pt>
                <c:pt idx="3">
                  <c:v>Sabic</c:v>
                </c:pt>
                <c:pt idx="4">
                  <c:v>STC</c:v>
                </c:pt>
              </c:strCache>
            </c:strRef>
          </c:cat>
          <c:val>
            <c:numRef>
              <c:f>'Pivot Table '!$L$28:$L$32</c:f>
              <c:numCache>
                <c:formatCode>"SAR"#,##0</c:formatCode>
                <c:ptCount val="5"/>
                <c:pt idx="0">
                  <c:v>1697350</c:v>
                </c:pt>
                <c:pt idx="1">
                  <c:v>2252600</c:v>
                </c:pt>
                <c:pt idx="2">
                  <c:v>1616200</c:v>
                </c:pt>
                <c:pt idx="3">
                  <c:v>2112400</c:v>
                </c:pt>
                <c:pt idx="4">
                  <c:v>1949550</c:v>
                </c:pt>
              </c:numCache>
            </c:numRef>
          </c:val>
          <c:extLst>
            <c:ext xmlns:c16="http://schemas.microsoft.com/office/drawing/2014/chart" uri="{C3380CC4-5D6E-409C-BE32-E72D297353CC}">
              <c16:uniqueId val="{00000000-86DD-4940-B372-DF344694F090}"/>
            </c:ext>
          </c:extLst>
        </c:ser>
        <c:dLbls>
          <c:showLegendKey val="0"/>
          <c:showVal val="0"/>
          <c:showCatName val="0"/>
          <c:showSerName val="0"/>
          <c:showPercent val="0"/>
          <c:showBubbleSize val="0"/>
        </c:dLbls>
        <c:gapWidth val="219"/>
        <c:overlap val="-27"/>
        <c:axId val="1990154991"/>
        <c:axId val="1989885135"/>
      </c:barChart>
      <c:catAx>
        <c:axId val="1990154991"/>
        <c:scaling>
          <c:orientation val="minMax"/>
        </c:scaling>
        <c:delete val="1"/>
        <c:axPos val="b"/>
        <c:numFmt formatCode="General" sourceLinked="1"/>
        <c:majorTickMark val="none"/>
        <c:minorTickMark val="none"/>
        <c:tickLblPos val="nextTo"/>
        <c:crossAx val="1989885135"/>
        <c:crosses val="autoZero"/>
        <c:auto val="1"/>
        <c:lblAlgn val="ctr"/>
        <c:lblOffset val="100"/>
        <c:noMultiLvlLbl val="0"/>
      </c:catAx>
      <c:valAx>
        <c:axId val="1989885135"/>
        <c:scaling>
          <c:orientation val="minMax"/>
        </c:scaling>
        <c:delete val="1"/>
        <c:axPos val="l"/>
        <c:majorGridlines>
          <c:spPr>
            <a:ln w="9525" cap="flat" cmpd="sng" algn="ctr">
              <a:solidFill>
                <a:schemeClr val="tx1">
                  <a:lumMod val="15000"/>
                  <a:lumOff val="85000"/>
                </a:schemeClr>
              </a:solidFill>
              <a:round/>
            </a:ln>
            <a:effectLst/>
          </c:spPr>
        </c:majorGridlines>
        <c:numFmt formatCode="&quot;SAR&quot;#,##0" sourceLinked="1"/>
        <c:majorTickMark val="none"/>
        <c:minorTickMark val="none"/>
        <c:tickLblPos val="nextTo"/>
        <c:crossAx val="19901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[Nokhba_Raw_Sale, (1).xlsx]Pivot Table !PivotTable20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 (FY2022-FY2024)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'!$Q$27</c:f>
              <c:strCache>
                <c:ptCount val="1"/>
                <c:pt idx="0">
                  <c:v>Total</c:v>
                </c:pt>
              </c:strCache>
            </c:strRef>
          </c:tx>
          <c:spPr>
            <a:solidFill>
              <a:schemeClr val="accent3"/>
            </a:solidFill>
            <a:ln>
              <a:noFill/>
            </a:ln>
            <a:effectLst/>
          </c:spPr>
          <c:invertIfNegative val="0"/>
          <c:cat>
            <c:multiLvlStrRef>
              <c:f>'Pivot Table '!$P$28:$P$65</c:f>
              <c:multiLvlStrCache>
                <c:ptCount val="35"/>
                <c:lvl>
                  <c:pt idx="0">
                    <c:v>Mhrm</c:v>
                  </c:pt>
                  <c:pt idx="1">
                    <c:v>Safr</c:v>
                  </c:pt>
                  <c:pt idx="2">
                    <c:v>Rab. II</c:v>
                  </c:pt>
                  <c:pt idx="3">
                    <c:v>Jmd. I</c:v>
                  </c:pt>
                  <c:pt idx="4">
                    <c:v>Jmd. II</c:v>
                  </c:pt>
                  <c:pt idx="5">
                    <c:v>Rajb</c:v>
                  </c:pt>
                  <c:pt idx="6">
                    <c:v>Shbn</c:v>
                  </c:pt>
                  <c:pt idx="7">
                    <c:v>Rmdn</c:v>
                  </c:pt>
                  <c:pt idx="8">
                    <c:v>Shwl</c:v>
                  </c:pt>
                  <c:pt idx="9">
                    <c:v>Dhuʻl-Q</c:v>
                  </c:pt>
                  <c:pt idx="10">
                    <c:v>Dhuʻl-H</c:v>
                  </c:pt>
                  <c:pt idx="11">
                    <c:v>Mhrm</c:v>
                  </c:pt>
                  <c:pt idx="12">
                    <c:v>Safr</c:v>
                  </c:pt>
                  <c:pt idx="13">
                    <c:v>Rab. I</c:v>
                  </c:pt>
                  <c:pt idx="14">
                    <c:v>Rab. II</c:v>
                  </c:pt>
                  <c:pt idx="15">
                    <c:v>Jmd. I</c:v>
                  </c:pt>
                  <c:pt idx="16">
                    <c:v>Jmd. II</c:v>
                  </c:pt>
                  <c:pt idx="17">
                    <c:v>Rajb</c:v>
                  </c:pt>
                  <c:pt idx="18">
                    <c:v>Shbn</c:v>
                  </c:pt>
                  <c:pt idx="19">
                    <c:v>Rmdn</c:v>
                  </c:pt>
                  <c:pt idx="20">
                    <c:v>Shwl</c:v>
                  </c:pt>
                  <c:pt idx="21">
                    <c:v>Dhuʻl-Q</c:v>
                  </c:pt>
                  <c:pt idx="22">
                    <c:v>Dhuʻl-H</c:v>
                  </c:pt>
                  <c:pt idx="23">
                    <c:v>Mhrm</c:v>
                  </c:pt>
                  <c:pt idx="24">
                    <c:v>Safr</c:v>
                  </c:pt>
                  <c:pt idx="25">
                    <c:v>Rab. I</c:v>
                  </c:pt>
                  <c:pt idx="26">
                    <c:v>Rab. II</c:v>
                  </c:pt>
                  <c:pt idx="27">
                    <c:v>Jmd. I</c:v>
                  </c:pt>
                  <c:pt idx="28">
                    <c:v>Jmd. II</c:v>
                  </c:pt>
                  <c:pt idx="29">
                    <c:v>Rajb</c:v>
                  </c:pt>
                  <c:pt idx="30">
                    <c:v>Shbn</c:v>
                  </c:pt>
                  <c:pt idx="31">
                    <c:v>Rmdn</c:v>
                  </c:pt>
                  <c:pt idx="32">
                    <c:v>Shwl</c:v>
                  </c:pt>
                  <c:pt idx="33">
                    <c:v>Dhuʻl-Q</c:v>
                  </c:pt>
                  <c:pt idx="34">
                    <c:v>Dhuʻl-H</c:v>
                  </c:pt>
                </c:lvl>
                <c:lvl>
                  <c:pt idx="0">
                    <c:v>2022</c:v>
                  </c:pt>
                  <c:pt idx="11">
                    <c:v>2023</c:v>
                  </c:pt>
                  <c:pt idx="23">
                    <c:v>2024</c:v>
                  </c:pt>
                </c:lvl>
              </c:multiLvlStrCache>
            </c:multiLvlStrRef>
          </c:cat>
          <c:val>
            <c:numRef>
              <c:f>'Pivot Table '!$Q$28:$Q$65</c:f>
              <c:numCache>
                <c:formatCode>"SAR"#,##0</c:formatCode>
                <c:ptCount val="35"/>
                <c:pt idx="0">
                  <c:v>344400</c:v>
                </c:pt>
                <c:pt idx="1">
                  <c:v>369800</c:v>
                </c:pt>
                <c:pt idx="2">
                  <c:v>398100</c:v>
                </c:pt>
                <c:pt idx="3">
                  <c:v>309900</c:v>
                </c:pt>
                <c:pt idx="4">
                  <c:v>202400</c:v>
                </c:pt>
                <c:pt idx="5">
                  <c:v>105700</c:v>
                </c:pt>
                <c:pt idx="6">
                  <c:v>103150</c:v>
                </c:pt>
                <c:pt idx="7">
                  <c:v>389350</c:v>
                </c:pt>
                <c:pt idx="8">
                  <c:v>193100</c:v>
                </c:pt>
                <c:pt idx="9">
                  <c:v>265000</c:v>
                </c:pt>
                <c:pt idx="10">
                  <c:v>152200</c:v>
                </c:pt>
                <c:pt idx="11">
                  <c:v>644250</c:v>
                </c:pt>
                <c:pt idx="12">
                  <c:v>346450</c:v>
                </c:pt>
                <c:pt idx="13">
                  <c:v>207550</c:v>
                </c:pt>
                <c:pt idx="14">
                  <c:v>347250</c:v>
                </c:pt>
                <c:pt idx="15">
                  <c:v>275800</c:v>
                </c:pt>
                <c:pt idx="16">
                  <c:v>90250</c:v>
                </c:pt>
                <c:pt idx="17">
                  <c:v>175350</c:v>
                </c:pt>
                <c:pt idx="18">
                  <c:v>183450</c:v>
                </c:pt>
                <c:pt idx="19">
                  <c:v>150900</c:v>
                </c:pt>
                <c:pt idx="20">
                  <c:v>177300</c:v>
                </c:pt>
                <c:pt idx="21">
                  <c:v>460950</c:v>
                </c:pt>
                <c:pt idx="22">
                  <c:v>265500</c:v>
                </c:pt>
                <c:pt idx="23">
                  <c:v>346600</c:v>
                </c:pt>
                <c:pt idx="24">
                  <c:v>292550</c:v>
                </c:pt>
                <c:pt idx="25">
                  <c:v>337900</c:v>
                </c:pt>
                <c:pt idx="26">
                  <c:v>535050</c:v>
                </c:pt>
                <c:pt idx="27">
                  <c:v>294050</c:v>
                </c:pt>
                <c:pt idx="28">
                  <c:v>189100</c:v>
                </c:pt>
                <c:pt idx="29">
                  <c:v>486100</c:v>
                </c:pt>
                <c:pt idx="30">
                  <c:v>204350</c:v>
                </c:pt>
                <c:pt idx="31">
                  <c:v>301450</c:v>
                </c:pt>
                <c:pt idx="32">
                  <c:v>105500</c:v>
                </c:pt>
                <c:pt idx="33">
                  <c:v>253050</c:v>
                </c:pt>
                <c:pt idx="34">
                  <c:v>124300</c:v>
                </c:pt>
              </c:numCache>
            </c:numRef>
          </c:val>
          <c:extLst>
            <c:ext xmlns:c16="http://schemas.microsoft.com/office/drawing/2014/chart" uri="{C3380CC4-5D6E-409C-BE32-E72D297353CC}">
              <c16:uniqueId val="{00000000-F45D-ED44-9F02-29C9E6D14D1E}"/>
            </c:ext>
          </c:extLst>
        </c:ser>
        <c:dLbls>
          <c:showLegendKey val="0"/>
          <c:showVal val="0"/>
          <c:showCatName val="0"/>
          <c:showSerName val="0"/>
          <c:showPercent val="0"/>
          <c:showBubbleSize val="0"/>
        </c:dLbls>
        <c:gapWidth val="219"/>
        <c:overlap val="-27"/>
        <c:axId val="1997750975"/>
        <c:axId val="1993291567"/>
      </c:barChart>
      <c:catAx>
        <c:axId val="19977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993291567"/>
        <c:crosses val="autoZero"/>
        <c:auto val="1"/>
        <c:lblAlgn val="ctr"/>
        <c:lblOffset val="100"/>
        <c:noMultiLvlLbl val="0"/>
      </c:catAx>
      <c:valAx>
        <c:axId val="1993291567"/>
        <c:scaling>
          <c:orientation val="minMax"/>
        </c:scaling>
        <c:delete val="0"/>
        <c:axPos val="l"/>
        <c:majorGridlines>
          <c:spPr>
            <a:ln w="9525" cap="flat" cmpd="sng" algn="ctr">
              <a:solidFill>
                <a:schemeClr val="tx1">
                  <a:lumMod val="15000"/>
                  <a:lumOff val="85000"/>
                </a:schemeClr>
              </a:solidFill>
              <a:round/>
            </a:ln>
            <a:effectLst/>
          </c:spPr>
        </c:majorGridlines>
        <c:numFmt formatCode="&quot;SA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99775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516468</xdr:colOff>
      <xdr:row>2</xdr:row>
      <xdr:rowOff>186266</xdr:rowOff>
    </xdr:from>
    <xdr:to>
      <xdr:col>27</xdr:col>
      <xdr:colOff>523875</xdr:colOff>
      <xdr:row>66</xdr:row>
      <xdr:rowOff>28576</xdr:rowOff>
    </xdr:to>
    <xdr:sp macro="" textlink="">
      <xdr:nvSpPr>
        <xdr:cNvPr id="4" name="TextBox 3">
          <a:extLst>
            <a:ext uri="{FF2B5EF4-FFF2-40B4-BE49-F238E27FC236}">
              <a16:creationId xmlns:a16="http://schemas.microsoft.com/office/drawing/2014/main" id="{02F89CD7-49E2-7DD4-384B-F90E4FDEBF03}"/>
            </a:ext>
          </a:extLst>
        </xdr:cNvPr>
        <xdr:cNvSpPr txBox="1"/>
      </xdr:nvSpPr>
      <xdr:spPr>
        <a:xfrm>
          <a:off x="17242368" y="843491"/>
          <a:ext cx="5912907" cy="1203431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(a)- inconsistent date formats: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Date entries were found in multiple formats, including DD/MM/YYYY, DD-Mon-YY, and MM/DD/YYYY. To standardize the dataset, the Date column was first formatted using Custom Format (dd/mm/yyyy). Entries that remained as text or did not convert correctly were then corrected using Text to Columns. As a result, all dates were converted into a consistent DD/MM/YYYY format for accurate sorting, filtering, and analysis.</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(b)- typographical errors in Region names: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Region names were reviewed by using the Advanced Filter tool to extract unique values from the Region column. The LEN function was then applied to the unique list to identify inconsistencies in text.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Entries with unusual lengths and inconsistent capitalization were flagged and examined. The Region column was also sorted from A to Z to make variations easier to identify.</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Manual corrections were applied to standardize all entries. Corrections included:</a:t>
          </a:r>
        </a:p>
        <a:p>
          <a:r>
            <a:rPr lang="en-US" sz="1100" b="0" i="0">
              <a:solidFill>
                <a:schemeClr val="dk1"/>
              </a:solidFill>
              <a:effectLst/>
              <a:latin typeface="+mn-lt"/>
              <a:ea typeface="+mn-ea"/>
              <a:cs typeface="+mn-cs"/>
            </a:rPr>
            <a:t>- "dammam" and "Dammm" were corrected to "Dammam"</a:t>
          </a:r>
        </a:p>
        <a:p>
          <a:r>
            <a:rPr lang="en-US" sz="1100" b="0" i="0">
              <a:solidFill>
                <a:schemeClr val="dk1"/>
              </a:solidFill>
              <a:effectLst/>
              <a:latin typeface="+mn-lt"/>
              <a:ea typeface="+mn-ea"/>
              <a:cs typeface="+mn-cs"/>
            </a:rPr>
            <a:t>- "Jeda" was corrected to "Jeddah"</a:t>
          </a:r>
        </a:p>
        <a:p>
          <a:r>
            <a:rPr lang="en-US" sz="1100" b="0" i="0">
              <a:solidFill>
                <a:schemeClr val="dk1"/>
              </a:solidFill>
              <a:effectLst/>
              <a:latin typeface="+mn-lt"/>
              <a:ea typeface="+mn-ea"/>
              <a:cs typeface="+mn-cs"/>
            </a:rPr>
            <a:t>- "Khobr" was corrected to "Khobar"</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All region names were reviewed and standardized to ensure consistency across the dataset for accurate analysis.</a:t>
          </a:r>
        </a:p>
        <a:p>
          <a:endParaRPr lang="en-US" sz="1100" b="1" i="0">
            <a:solidFill>
              <a:schemeClr val="dk1"/>
            </a:solidFill>
            <a:effectLst/>
            <a:latin typeface="+mn-lt"/>
            <a:ea typeface="+mn-ea"/>
            <a:cs typeface="+mn-cs"/>
          </a:endParaRPr>
        </a:p>
        <a:p>
          <a:endParaRPr lang="en-US" sz="1100" b="1" i="0">
            <a:solidFill>
              <a:schemeClr val="dk1"/>
            </a:solidFill>
            <a:effectLst/>
            <a:latin typeface="+mn-lt"/>
            <a:ea typeface="+mn-ea"/>
            <a:cs typeface="+mn-cs"/>
          </a:endParaRPr>
        </a:p>
        <a:p>
          <a:r>
            <a:rPr lang="en-US" sz="1100" b="1" i="0">
              <a:solidFill>
                <a:schemeClr val="dk1"/>
              </a:solidFill>
              <a:effectLst/>
              <a:latin typeface="+mn-lt"/>
              <a:ea typeface="+mn-ea"/>
              <a:cs typeface="+mn-cs"/>
            </a:rPr>
            <a:t>(b)- typographical errors in Product Category names:</a:t>
          </a:r>
        </a:p>
        <a:p>
          <a:endParaRPr lang="en-US" sz="1100" b="0" i="0">
            <a:solidFill>
              <a:schemeClr val="dk1"/>
            </a:solidFill>
            <a:effectLst/>
            <a:latin typeface="+mn-lt"/>
            <a:ea typeface="+mn-ea"/>
            <a:cs typeface="+mn-cs"/>
          </a:endParaRPr>
        </a:p>
        <a:p>
          <a:r>
            <a:rPr lang="en-US" sz="1100" b="0"/>
            <a:t>Product category names were reviewed by using the Advanced Filter tool to extract unique values from the Product Category column. The LEN function was then applied to the unique list to identify inconsistencies in text length.</a:t>
          </a:r>
        </a:p>
        <a:p>
          <a:endParaRPr lang="en-US" sz="1100" b="0"/>
        </a:p>
        <a:p>
          <a:r>
            <a:rPr lang="en-US" sz="1100" b="0"/>
            <a:t>The Product Category column was also sorted from A to Z to make variations easier to identify. Entries with unusual lengths and inconsistent capitalization were flagged and examined.</a:t>
          </a:r>
        </a:p>
        <a:p>
          <a:endParaRPr lang="en-US" sz="1100" b="0"/>
        </a:p>
        <a:p>
          <a:r>
            <a:rPr lang="en-US" sz="1100" b="0"/>
            <a:t>Manual corrections were applied to standardize all entries. Corrections included:</a:t>
          </a:r>
        </a:p>
        <a:p>
          <a:r>
            <a:rPr lang="en-US" sz="1100" b="0"/>
            <a:t>- "Phon" was corrected to "Phone"</a:t>
          </a:r>
        </a:p>
        <a:p>
          <a:r>
            <a:rPr lang="en-US" sz="1100" b="0"/>
            <a:t>- "Prnter" was corrected to "Printer"</a:t>
          </a:r>
        </a:p>
        <a:p>
          <a:r>
            <a:rPr lang="en-US" sz="1100" b="0"/>
            <a:t>- "Laptpp" was corrected to "Laptop"</a:t>
          </a:r>
        </a:p>
        <a:p>
          <a:r>
            <a:rPr lang="en-US" sz="1100" b="0"/>
            <a:t>- "tablet" was corrected to "Tablet"</a:t>
          </a:r>
        </a:p>
        <a:p>
          <a:r>
            <a:rPr lang="ar-SA" sz="1100" b="0"/>
            <a:t>-</a:t>
          </a:r>
          <a:r>
            <a:rPr lang="en-US" sz="1100" b="0"/>
            <a:t>"accessories" to "Accessories"</a:t>
          </a:r>
        </a:p>
        <a:p>
          <a:r>
            <a:rPr lang="en-US" sz="1100" b="0"/>
            <a:t>All product category names were reviewed and standardized to ensure consistency across the dataset for accurate analysis.</a:t>
          </a:r>
          <a:endParaRPr lang="ar-SA" sz="1100" b="0"/>
        </a:p>
        <a:p>
          <a:endParaRPr lang="en-US" sz="1100" b="0"/>
        </a:p>
        <a:p>
          <a:r>
            <a:rPr lang="en-US" sz="1100" b="1" i="0">
              <a:solidFill>
                <a:schemeClr val="dk1"/>
              </a:solidFill>
              <a:effectLst/>
              <a:latin typeface="+mn-lt"/>
              <a:ea typeface="+mn-ea"/>
              <a:cs typeface="+mn-cs"/>
            </a:rPr>
            <a:t>(c)- inconsistent client name:</a:t>
          </a:r>
        </a:p>
        <a:p>
          <a:endParaRPr lang="en-US" sz="1100" b="1"/>
        </a:p>
        <a:p>
          <a:r>
            <a:rPr lang="en-US" sz="1100" b="0"/>
            <a:t>Client names were reviewed using Filter and sorting (A–Z) to identify inconsistencies in capitalization. Each name was filtered individually, then standardized and applied to all related records using bulk editing (Ctrl + Enter). Corrections included: "al rajhi" and "AL RAJHI" to "Al Rajhi", "stc" to "STC", and "aramco" to "Aramco". All entries were unified to ensure consistency across the dataset.</a:t>
          </a:r>
        </a:p>
        <a:p>
          <a:endParaRPr lang="en-US" sz="1100" b="0"/>
        </a:p>
        <a:p>
          <a:r>
            <a:rPr lang="en-US" sz="1100" b="1" i="0">
              <a:solidFill>
                <a:schemeClr val="dk1"/>
              </a:solidFill>
              <a:effectLst/>
              <a:latin typeface="+mn-lt"/>
              <a:ea typeface="+mn-ea"/>
              <a:cs typeface="+mn-cs"/>
            </a:rPr>
            <a:t>(d)- quantity values stored as text words rather than numbers: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Some values in the Quantity column were stored as text (e.g., “five”, “twenty”). The column was reviewed using Filter to identify these entries. Manual corrections were then applied to convert all text values into numeric format to ensure accurate calculations and consistency across the datase</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(e)-missing Total_Sale values, calculate these using a proper formula:</a:t>
          </a:r>
        </a:p>
        <a:p>
          <a:br>
            <a:rPr lang="en-US"/>
          </a:br>
          <a:r>
            <a:rPr lang="en-US"/>
            <a:t>Missing values in the Total_Sale column were calculated using a formula (Quantity × Unit Price). The formula (=F3*G3) was applied to the first cell and filled down to complete the remaining entries. This ensured that all sales values were accurately calculated and consistent.</a:t>
          </a:r>
        </a:p>
        <a:p>
          <a:endParaRPr lang="en-US" sz="1100" b="1"/>
        </a:p>
        <a:p>
          <a:r>
            <a:rPr lang="en-US" sz="1100" b="1" i="0">
              <a:solidFill>
                <a:schemeClr val="dk1"/>
              </a:solidFill>
              <a:effectLst/>
              <a:latin typeface="+mn-lt"/>
              <a:ea typeface="+mn-ea"/>
              <a:cs typeface="+mn-cs"/>
            </a:rPr>
            <a:t>(f) -Format all</a:t>
          </a:r>
          <a:r>
            <a:rPr lang="en-US" sz="1100" b="1" i="0" baseline="0">
              <a:solidFill>
                <a:schemeClr val="dk1"/>
              </a:solidFill>
              <a:effectLst/>
              <a:latin typeface="+mn-lt"/>
              <a:ea typeface="+mn-ea"/>
              <a:cs typeface="+mn-cs"/>
            </a:rPr>
            <a:t> </a:t>
          </a:r>
          <a:r>
            <a:rPr lang="en-US" sz="1100" b="1" i="0">
              <a:solidFill>
                <a:schemeClr val="dk1"/>
              </a:solidFill>
              <a:effectLst/>
              <a:latin typeface="+mn-lt"/>
              <a:ea typeface="+mn-ea"/>
              <a:cs typeface="+mn-cs"/>
            </a:rPr>
            <a:t>currency columns as SAR.:</a:t>
          </a:r>
          <a:br>
            <a:rPr lang="en-US"/>
          </a:br>
          <a:endParaRPr lang="en-US" sz="1100" b="1"/>
        </a:p>
        <a:p>
          <a:r>
            <a:rPr lang="en-US" sz="1100" b="0"/>
            <a:t>The Unit Price and Total Sale columns were formatted using the Currency (Accounting) format in Saudi Riyal (SAR). This was done through the Number section in Excel to ensure consistent and professional presentation of financial data across the dataset.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812800</xdr:colOff>
      <xdr:row>10</xdr:row>
      <xdr:rowOff>12700</xdr:rowOff>
    </xdr:from>
    <xdr:to>
      <xdr:col>14</xdr:col>
      <xdr:colOff>571500</xdr:colOff>
      <xdr:row>24</xdr:row>
      <xdr:rowOff>88900</xdr:rowOff>
    </xdr:to>
    <xdr:graphicFrame macro="">
      <xdr:nvGraphicFramePr>
        <xdr:cNvPr id="2" name="Chart 1">
          <a:extLst>
            <a:ext uri="{FF2B5EF4-FFF2-40B4-BE49-F238E27FC236}">
              <a16:creationId xmlns:a16="http://schemas.microsoft.com/office/drawing/2014/main" id="{BC9DB89D-096E-FEDD-3C8F-9EDEAB01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25400</xdr:colOff>
      <xdr:row>10</xdr:row>
      <xdr:rowOff>12700</xdr:rowOff>
    </xdr:from>
    <xdr:to>
      <xdr:col>19</xdr:col>
      <xdr:colOff>609600</xdr:colOff>
      <xdr:row>24</xdr:row>
      <xdr:rowOff>88900</xdr:rowOff>
    </xdr:to>
    <xdr:graphicFrame macro="">
      <xdr:nvGraphicFramePr>
        <xdr:cNvPr id="3" name="Chart 2">
          <a:extLst>
            <a:ext uri="{FF2B5EF4-FFF2-40B4-BE49-F238E27FC236}">
              <a16:creationId xmlns:a16="http://schemas.microsoft.com/office/drawing/2014/main" id="{0645443B-781E-E888-BCCA-4DAFE5629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787400</xdr:colOff>
      <xdr:row>34</xdr:row>
      <xdr:rowOff>25400</xdr:rowOff>
    </xdr:from>
    <xdr:to>
      <xdr:col>14</xdr:col>
      <xdr:colOff>546100</xdr:colOff>
      <xdr:row>48</xdr:row>
      <xdr:rowOff>101600</xdr:rowOff>
    </xdr:to>
    <xdr:graphicFrame macro="">
      <xdr:nvGraphicFramePr>
        <xdr:cNvPr id="4" name="Chart 3">
          <a:extLst>
            <a:ext uri="{FF2B5EF4-FFF2-40B4-BE49-F238E27FC236}">
              <a16:creationId xmlns:a16="http://schemas.microsoft.com/office/drawing/2014/main" id="{8670AAAA-B857-6773-85A2-BD582F719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139700</xdr:colOff>
      <xdr:row>26</xdr:row>
      <xdr:rowOff>25400</xdr:rowOff>
    </xdr:from>
    <xdr:to>
      <xdr:col>23</xdr:col>
      <xdr:colOff>215900</xdr:colOff>
      <xdr:row>40</xdr:row>
      <xdr:rowOff>101600</xdr:rowOff>
    </xdr:to>
    <xdr:graphicFrame macro="">
      <xdr:nvGraphicFramePr>
        <xdr:cNvPr id="5" name="Chart 4">
          <a:extLst>
            <a:ext uri="{FF2B5EF4-FFF2-40B4-BE49-F238E27FC236}">
              <a16:creationId xmlns:a16="http://schemas.microsoft.com/office/drawing/2014/main" id="{0AD99424-CE7C-37ED-028B-1A109AD5C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9.00135810185" createdVersion="8" refreshedVersion="8" minRefreshableVersion="3" recordCount="120" xr:uid="{BE828811-687D-094E-A9EC-7F6FE7A59517}">
  <cacheSource type="worksheet">
    <worksheetSource ref="A2:I122" sheet="Pivot Table "/>
  </cacheSource>
  <cacheFields count="11">
    <cacheField name="Invoice_ID" numFmtId="0">
      <sharedItems/>
    </cacheField>
    <cacheField name="Date" numFmtId="14">
      <sharedItems containsSemiMixedTypes="0" containsNonDate="0" containsDate="1" containsString="0" minDate="2022-01-03T00:00:00" maxDate="2024-12-29T00:00:00" count="117">
        <d v="2022-01-03T00:00:00"/>
        <d v="2022-01-08T00:00:00"/>
        <d v="2022-01-09T00:00:00"/>
        <d v="2022-01-25T00:00:00"/>
        <d v="2022-02-03T00:00:00"/>
        <d v="2022-02-13T00:00:00"/>
        <d v="2022-02-17T00:00:00"/>
        <d v="2022-02-22T00:00:00"/>
        <d v="2022-04-02T00:00:00"/>
        <d v="2022-04-03T00:00:00"/>
        <d v="2022-04-08T00:00:00"/>
        <d v="2022-04-12T00:00:00"/>
        <d v="2022-04-17T00:00:00"/>
        <d v="2022-05-03T00:00:00"/>
        <d v="2022-05-22T00:00:00"/>
        <d v="2022-05-23T00:00:00"/>
        <d v="2022-05-26T00:00:00"/>
        <d v="2022-06-07T00:00:00"/>
        <d v="2022-06-08T00:00:00"/>
        <d v="2022-06-19T00:00:00"/>
        <d v="2022-06-20T00:00:00"/>
        <d v="2022-08-07T00:00:00"/>
        <d v="2022-08-18T00:00:00"/>
        <d v="2022-08-27T00:00:00"/>
        <d v="2022-09-03T00:00:00"/>
        <d v="2022-09-04T00:00:00"/>
        <d v="2022-09-10T00:00:00"/>
        <d v="2022-09-26T00:00:00"/>
        <d v="2022-10-07T00:00:00"/>
        <d v="2022-10-24T00:00:00"/>
        <d v="2022-10-26T00:00:00"/>
        <d v="2022-12-05T00:00:00"/>
        <d v="2022-12-17T00:00:00"/>
        <d v="2022-12-20T00:00:00"/>
        <d v="2023-01-04T00:00:00"/>
        <d v="2023-01-05T00:00:00"/>
        <d v="2023-01-16T00:00:00"/>
        <d v="2023-01-19T00:00:00"/>
        <d v="2023-02-02T00:00:00"/>
        <d v="2023-02-15T00:00:00"/>
        <d v="2023-02-16T00:00:00"/>
        <d v="2023-02-17T00:00:00"/>
        <d v="2023-03-03T00:00:00"/>
        <d v="2023-04-07T00:00:00"/>
        <d v="2023-04-15T00:00:00"/>
        <d v="2023-04-17T00:00:00"/>
        <d v="2023-04-18T00:00:00"/>
        <d v="2023-05-06T00:00:00"/>
        <d v="2023-05-11T00:00:00"/>
        <d v="2023-05-17T00:00:00"/>
        <d v="2023-05-22T00:00:00"/>
        <d v="2023-06-03T00:00:00"/>
        <d v="2023-06-15T00:00:00"/>
        <d v="2023-08-01T00:00:00"/>
        <d v="2023-08-20T00:00:00"/>
        <d v="2023-08-25T00:00:00"/>
        <d v="2023-09-02T00:00:00"/>
        <d v="2023-09-16T00:00:00"/>
        <d v="2023-09-19T00:00:00"/>
        <d v="2023-10-02T00:00:00"/>
        <d v="2023-10-07T00:00:00"/>
        <d v="2023-10-09T00:00:00"/>
        <d v="2023-11-03T00:00:00"/>
        <d v="2023-11-07T00:00:00"/>
        <d v="2023-12-23T00:00:00"/>
        <d v="2023-12-25T00:00:00"/>
        <d v="2023-12-26T00:00:00"/>
        <d v="2024-01-07T00:00:00"/>
        <d v="2024-01-12T00:00:00"/>
        <d v="2024-01-22T00:00:00"/>
        <d v="2024-01-26T00:00:00"/>
        <d v="2024-02-03T00:00:00"/>
        <d v="2024-02-05T00:00:00"/>
        <d v="2024-02-10T00:00:00"/>
        <d v="2024-02-18T00:00:00"/>
        <d v="2024-04-04T00:00:00"/>
        <d v="2024-04-08T00:00:00"/>
        <d v="2024-04-10T00:00:00"/>
        <d v="2024-04-24T00:00:00"/>
        <d v="2024-05-03T00:00:00"/>
        <d v="2024-05-09T00:00:00"/>
        <d v="2024-05-20T00:00:00"/>
        <d v="2024-05-28T00:00:00"/>
        <d v="2024-06-08T00:00:00"/>
        <d v="2024-06-12T00:00:00"/>
        <d v="2024-06-22T00:00:00"/>
        <d v="2024-08-07T00:00:00"/>
        <d v="2024-08-11T00:00:00"/>
        <d v="2024-08-27T00:00:00"/>
        <d v="2024-09-01T00:00:00"/>
        <d v="2024-09-25T00:00:00"/>
        <d v="2024-09-26T00:00:00"/>
        <d v="2024-10-06T00:00:00"/>
        <d v="2024-10-24T00:00:00"/>
        <d v="2022-07-18T00:00:00"/>
        <d v="2022-07-21T00:00:00"/>
        <d v="2022-11-13T00:00:00"/>
        <d v="2022-11-16T00:00:00"/>
        <d v="2022-11-17T00:00:00"/>
        <d v="2023-03-24T00:00:00"/>
        <d v="2023-03-28T00:00:00"/>
        <d v="2023-07-19T00:00:00"/>
        <d v="2023-07-21T00:00:00"/>
        <d v="2023-11-13T00:00:00"/>
        <d v="2023-11-24T00:00:00"/>
        <d v="2024-03-13T00:00:00"/>
        <d v="2024-03-22T00:00:00"/>
        <d v="2024-03-26T00:00:00"/>
        <d v="2024-07-14T00:00:00"/>
        <d v="2024-07-17T00:00:00"/>
        <d v="2024-07-28T00:00:00"/>
        <d v="2024-10-28T00:00:00"/>
        <d v="2024-11-15T00:00:00"/>
        <d v="2024-11-18T00:00:00"/>
        <d v="2024-11-22T00:00:00"/>
        <d v="2024-12-23T00:00:00"/>
        <d v="2024-12-28T00:00:00"/>
      </sharedItems>
      <fieldGroup par="10" base="1">
        <rangePr groupBy="months" startDate="2022-01-03T00:00:00" endDate="2024-12-29T00:00:00"/>
        <groupItems count="14">
          <s v="&lt;03/01/2022"/>
          <s v="Mhrm"/>
          <s v="Safr"/>
          <s v="Rab. I"/>
          <s v="Rab. II"/>
          <s v="Jmd. I"/>
          <s v="Jmd. II"/>
          <s v="Rajb"/>
          <s v="Shbn"/>
          <s v="Rmdn"/>
          <s v="Shwl"/>
          <s v="Dhuʻl-Q"/>
          <s v="Dhuʻl-H"/>
          <s v="&gt;29/12/2024"/>
        </groupItems>
      </fieldGroup>
    </cacheField>
    <cacheField name="Client_Name" numFmtId="0">
      <sharedItems count="5">
        <s v="Al Rajhi"/>
        <s v="Almarai"/>
        <s v="Aramco"/>
        <s v="Sabic"/>
        <s v="STC"/>
      </sharedItems>
    </cacheField>
    <cacheField name="Region" numFmtId="0">
      <sharedItems count="5">
        <s v="Dammam"/>
        <s v="Jeddah"/>
        <s v="Jubail"/>
        <s v="Khobar"/>
        <s v="Riyadh"/>
      </sharedItems>
    </cacheField>
    <cacheField name="Product_Category" numFmtId="0">
      <sharedItems count="5">
        <s v="Accessories"/>
        <s v="Laptop"/>
        <s v="Phone"/>
        <s v="Printer"/>
        <s v="Tablet"/>
      </sharedItems>
    </cacheField>
    <cacheField name="Qty" numFmtId="0">
      <sharedItems containsMixedTypes="1" containsNumber="1" containsInteger="1" minValue="5" maxValue="106"/>
    </cacheField>
    <cacheField name="Unit_Price_SAR" numFmtId="168">
      <sharedItems containsSemiMixedTypes="0" containsString="0" containsNumber="1" containsInteger="1" minValue="250" maxValue="8800"/>
    </cacheField>
    <cacheField name="Total_Sale_SAR" numFmtId="168">
      <sharedItems containsSemiMixedTypes="0" containsString="0" containsNumber="1" containsInteger="1" minValue="16500" maxValue="315000" count="107">
        <n v="201650"/>
        <n v="45000"/>
        <n v="63500"/>
        <n v="34250"/>
        <n v="46200"/>
        <n v="51800"/>
        <n v="90000"/>
        <n v="136800"/>
        <n v="229400"/>
        <n v="46550"/>
        <n v="31150"/>
        <n v="59850"/>
        <n v="176000"/>
        <n v="37100"/>
        <n v="38000"/>
        <n v="58800"/>
        <n v="24600"/>
        <n v="63000"/>
        <n v="56000"/>
        <n v="40300"/>
        <n v="32450"/>
        <n v="30400"/>
        <n v="126000"/>
        <n v="39950"/>
        <n v="200900"/>
        <n v="22500"/>
        <n v="52400"/>
        <n v="94500"/>
        <n v="37000"/>
        <n v="52200"/>
        <n v="229900"/>
        <n v="272600"/>
        <n v="56550"/>
        <n v="85200"/>
        <n v="65100"/>
        <n v="116200"/>
        <n v="26750"/>
        <n v="138400"/>
        <n v="149600"/>
        <n v="61600"/>
        <n v="61950"/>
        <n v="74100"/>
        <n v="79800"/>
        <n v="95250"/>
        <n v="42700"/>
        <n v="58050"/>
        <n v="26000"/>
        <n v="41750"/>
        <n v="42000"/>
        <n v="54450"/>
        <n v="87000"/>
        <n v="42600"/>
        <n v="49500"/>
        <n v="65000"/>
        <n v="42750"/>
        <n v="69550"/>
        <n v="35000"/>
        <n v="315000"/>
        <n v="170000"/>
        <n v="57000"/>
        <n v="38500"/>
        <n v="38350"/>
        <n v="28600"/>
        <n v="56050"/>
        <n v="223600"/>
        <n v="20000"/>
        <n v="16500"/>
        <n v="32800"/>
        <n v="223250"/>
        <n v="72750"/>
        <n v="176700"/>
        <n v="239400"/>
        <n v="69000"/>
        <n v="24750"/>
        <n v="167400"/>
        <n v="32900"/>
        <n v="67600"/>
        <n v="86500"/>
        <n v="35750"/>
        <n v="55200"/>
        <n v="113400"/>
        <n v="58500"/>
        <n v="203050"/>
        <n v="39900"/>
        <n v="41650"/>
        <n v="30600"/>
        <n v="46900"/>
        <n v="39550"/>
        <n v="46250"/>
        <n v="179200"/>
        <n v="26100"/>
        <n v="31850"/>
        <n v="48150"/>
        <n v="127200"/>
        <n v="79750"/>
        <n v="31200"/>
        <n v="81000"/>
        <n v="162400"/>
        <n v="66000"/>
        <n v="145000"/>
        <n v="275100"/>
        <n v="33250"/>
        <n v="65550"/>
        <n v="120650"/>
        <n v="66850"/>
        <n v="46750"/>
        <n v="41800"/>
      </sharedItems>
    </cacheField>
    <cacheField name="Notes (explain how data has been cleaned)" numFmtId="0">
      <sharedItems containsNonDate="0" containsString="0" containsBlank="1"/>
    </cacheField>
    <cacheField name="Quarters" numFmtId="0" databaseField="0">
      <fieldGroup base="1">
        <rangePr groupBy="quarters" startDate="2022-01-03T00:00:00" endDate="2024-12-29T00:00:00"/>
        <groupItems count="6">
          <s v="&lt;03/01/2022"/>
          <s v="Qtr1"/>
          <s v="Qtr2"/>
          <s v="Qtr3"/>
          <s v="Qtr4"/>
          <s v="&gt;29/12/2024"/>
        </groupItems>
      </fieldGroup>
    </cacheField>
    <cacheField name="Years" numFmtId="0" databaseField="0">
      <fieldGroup base="1">
        <rangePr groupBy="years" startDate="2022-01-03T00:00:00" endDate="2024-12-29T00:00:00"/>
        <groupItems count="5">
          <s v="&lt;03/01/2022"/>
          <s v="2022"/>
          <s v="2023"/>
          <s v="2024"/>
          <s v="&gt;29/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INV-1038"/>
    <x v="0"/>
    <x v="0"/>
    <x v="0"/>
    <x v="0"/>
    <s v="37"/>
    <n v="5450"/>
    <x v="0"/>
    <m/>
  </r>
  <r>
    <s v="INV-1028"/>
    <x v="1"/>
    <x v="0"/>
    <x v="0"/>
    <x v="0"/>
    <s v="12"/>
    <n v="3750"/>
    <x v="1"/>
    <m/>
  </r>
  <r>
    <s v="INV-1018"/>
    <x v="2"/>
    <x v="0"/>
    <x v="0"/>
    <x v="0"/>
    <s v="10"/>
    <n v="6350"/>
    <x v="2"/>
    <m/>
  </r>
  <r>
    <s v="INV-1008"/>
    <x v="3"/>
    <x v="0"/>
    <x v="0"/>
    <x v="0"/>
    <s v="137"/>
    <n v="250"/>
    <x v="3"/>
    <m/>
  </r>
  <r>
    <s v="INV-1053"/>
    <x v="4"/>
    <x v="0"/>
    <x v="0"/>
    <x v="0"/>
    <s v="154"/>
    <n v="300"/>
    <x v="4"/>
    <m/>
  </r>
  <r>
    <s v="INV-1078"/>
    <x v="4"/>
    <x v="0"/>
    <x v="0"/>
    <x v="0"/>
    <s v="7"/>
    <n v="7400"/>
    <x v="5"/>
    <m/>
  </r>
  <r>
    <s v="INV-1068"/>
    <x v="5"/>
    <x v="0"/>
    <x v="0"/>
    <x v="0"/>
    <s v="6"/>
    <n v="7500"/>
    <x v="1"/>
    <m/>
  </r>
  <r>
    <s v="INV-1048"/>
    <x v="6"/>
    <x v="0"/>
    <x v="0"/>
    <x v="0"/>
    <s v="12"/>
    <n v="7500"/>
    <x v="6"/>
    <m/>
  </r>
  <r>
    <s v="INV-1073"/>
    <x v="7"/>
    <x v="0"/>
    <x v="0"/>
    <x v="0"/>
    <s v="18"/>
    <n v="7600"/>
    <x v="7"/>
    <m/>
  </r>
  <r>
    <s v="INV-1093"/>
    <x v="8"/>
    <x v="0"/>
    <x v="0"/>
    <x v="0"/>
    <s v="37"/>
    <n v="6200"/>
    <x v="8"/>
    <m/>
  </r>
  <r>
    <s v="INV-1118"/>
    <x v="9"/>
    <x v="0"/>
    <x v="0"/>
    <x v="0"/>
    <s v="133"/>
    <n v="350"/>
    <x v="9"/>
    <m/>
  </r>
  <r>
    <s v="INV-1098"/>
    <x v="10"/>
    <x v="0"/>
    <x v="0"/>
    <x v="0"/>
    <s v="89"/>
    <n v="350"/>
    <x v="10"/>
    <m/>
  </r>
  <r>
    <s v="INV-1088"/>
    <x v="11"/>
    <x v="0"/>
    <x v="0"/>
    <x v="0"/>
    <s v="7"/>
    <n v="8550"/>
    <x v="11"/>
    <m/>
  </r>
  <r>
    <s v="INV-1043"/>
    <x v="12"/>
    <x v="0"/>
    <x v="0"/>
    <x v="0"/>
    <s v="7"/>
    <n v="4450"/>
    <x v="10"/>
    <m/>
  </r>
  <r>
    <s v="INV-1063"/>
    <x v="13"/>
    <x v="0"/>
    <x v="0"/>
    <x v="0"/>
    <s v="32"/>
    <n v="5500"/>
    <x v="12"/>
    <m/>
  </r>
  <r>
    <s v="INV-1103"/>
    <x v="14"/>
    <x v="0"/>
    <x v="0"/>
    <x v="0"/>
    <n v="106"/>
    <n v="350"/>
    <x v="13"/>
    <m/>
  </r>
  <r>
    <s v="INV-1023"/>
    <x v="15"/>
    <x v="0"/>
    <x v="0"/>
    <x v="0"/>
    <s v="10"/>
    <n v="3800"/>
    <x v="14"/>
    <m/>
  </r>
  <r>
    <s v="INV-1013"/>
    <x v="16"/>
    <x v="0"/>
    <x v="0"/>
    <x v="1"/>
    <s v="28"/>
    <n v="2100"/>
    <x v="15"/>
    <m/>
  </r>
  <r>
    <s v="INV-1003"/>
    <x v="17"/>
    <x v="0"/>
    <x v="0"/>
    <x v="1"/>
    <s v="6"/>
    <n v="4100"/>
    <x v="16"/>
    <m/>
  </r>
  <r>
    <s v="INV-1033"/>
    <x v="18"/>
    <x v="0"/>
    <x v="0"/>
    <x v="1"/>
    <s v="30"/>
    <n v="2100"/>
    <x v="17"/>
    <m/>
  </r>
  <r>
    <s v="INV-1058"/>
    <x v="19"/>
    <x v="0"/>
    <x v="0"/>
    <x v="1"/>
    <s v="24"/>
    <n v="2450"/>
    <x v="15"/>
    <m/>
  </r>
  <r>
    <s v="INV-1108"/>
    <x v="20"/>
    <x v="0"/>
    <x v="0"/>
    <x v="1"/>
    <s v="10"/>
    <n v="5600"/>
    <x v="18"/>
    <m/>
  </r>
  <r>
    <s v="INV-1083"/>
    <x v="21"/>
    <x v="0"/>
    <x v="0"/>
    <x v="1"/>
    <s v="13"/>
    <n v="3100"/>
    <x v="19"/>
    <m/>
  </r>
  <r>
    <s v="INV-1113"/>
    <x v="22"/>
    <x v="0"/>
    <x v="0"/>
    <x v="1"/>
    <s v="11"/>
    <n v="2950"/>
    <x v="20"/>
    <m/>
  </r>
  <r>
    <s v="INV-1037"/>
    <x v="23"/>
    <x v="1"/>
    <x v="1"/>
    <x v="1"/>
    <s v="8"/>
    <n v="3800"/>
    <x v="21"/>
    <m/>
  </r>
  <r>
    <s v="INV-1002"/>
    <x v="24"/>
    <x v="1"/>
    <x v="1"/>
    <x v="1"/>
    <s v="24"/>
    <n v="5250"/>
    <x v="22"/>
    <m/>
  </r>
  <r>
    <s v="INV-1027"/>
    <x v="25"/>
    <x v="1"/>
    <x v="1"/>
    <x v="1"/>
    <s v="17"/>
    <n v="2350"/>
    <x v="23"/>
    <m/>
  </r>
  <r>
    <s v="INV-1017"/>
    <x v="26"/>
    <x v="1"/>
    <x v="1"/>
    <x v="1"/>
    <s v="41"/>
    <n v="4900"/>
    <x v="24"/>
    <m/>
  </r>
  <r>
    <s v="INV-1007"/>
    <x v="27"/>
    <x v="1"/>
    <x v="1"/>
    <x v="1"/>
    <s v="10"/>
    <n v="2250"/>
    <x v="25"/>
    <m/>
  </r>
  <r>
    <s v="INV-1032"/>
    <x v="28"/>
    <x v="1"/>
    <x v="1"/>
    <x v="1"/>
    <s v="8"/>
    <n v="6550"/>
    <x v="26"/>
    <m/>
  </r>
  <r>
    <s v="INV-1022"/>
    <x v="29"/>
    <x v="1"/>
    <x v="1"/>
    <x v="1"/>
    <s v="22"/>
    <n v="2100"/>
    <x v="4"/>
    <m/>
  </r>
  <r>
    <s v="INV-1012"/>
    <x v="30"/>
    <x v="1"/>
    <x v="1"/>
    <x v="1"/>
    <s v="14"/>
    <n v="6750"/>
    <x v="27"/>
    <m/>
  </r>
  <r>
    <s v="INV-1077"/>
    <x v="31"/>
    <x v="1"/>
    <x v="1"/>
    <x v="1"/>
    <s v="5"/>
    <n v="7400"/>
    <x v="28"/>
    <m/>
  </r>
  <r>
    <s v="INV-1042"/>
    <x v="32"/>
    <x v="1"/>
    <x v="1"/>
    <x v="1"/>
    <s v="9"/>
    <n v="7000"/>
    <x v="17"/>
    <m/>
  </r>
  <r>
    <s v="INV-1057"/>
    <x v="33"/>
    <x v="1"/>
    <x v="1"/>
    <x v="1"/>
    <s v="12"/>
    <n v="4350"/>
    <x v="29"/>
    <m/>
  </r>
  <r>
    <s v="INV-1072"/>
    <x v="34"/>
    <x v="1"/>
    <x v="1"/>
    <x v="1"/>
    <s v="38"/>
    <n v="6050"/>
    <x v="30"/>
    <m/>
  </r>
  <r>
    <s v="INV-1062"/>
    <x v="35"/>
    <x v="1"/>
    <x v="1"/>
    <x v="1"/>
    <s v="47"/>
    <n v="5800"/>
    <x v="31"/>
    <m/>
  </r>
  <r>
    <s v="INV-1067"/>
    <x v="36"/>
    <x v="1"/>
    <x v="1"/>
    <x v="1"/>
    <s v="13"/>
    <n v="4350"/>
    <x v="32"/>
    <m/>
  </r>
  <r>
    <s v="INV-1047"/>
    <x v="37"/>
    <x v="1"/>
    <x v="1"/>
    <x v="1"/>
    <s v="12"/>
    <n v="7100"/>
    <x v="33"/>
    <m/>
  </r>
  <r>
    <s v="INV-1052"/>
    <x v="38"/>
    <x v="1"/>
    <x v="1"/>
    <x v="1"/>
    <s v="14"/>
    <n v="4650"/>
    <x v="34"/>
    <m/>
  </r>
  <r>
    <s v="INV-1117"/>
    <x v="39"/>
    <x v="1"/>
    <x v="1"/>
    <x v="1"/>
    <s v="14"/>
    <n v="8300"/>
    <x v="35"/>
    <m/>
  </r>
  <r>
    <s v="INV-1082"/>
    <x v="40"/>
    <x v="1"/>
    <x v="1"/>
    <x v="1"/>
    <s v="5"/>
    <n v="5350"/>
    <x v="36"/>
    <m/>
  </r>
  <r>
    <s v="INV-1097"/>
    <x v="41"/>
    <x v="1"/>
    <x v="1"/>
    <x v="1"/>
    <s v="16"/>
    <n v="8650"/>
    <x v="37"/>
    <m/>
  </r>
  <r>
    <s v="INV-1112"/>
    <x v="42"/>
    <x v="1"/>
    <x v="1"/>
    <x v="1"/>
    <s v="17"/>
    <n v="8800"/>
    <x v="38"/>
    <m/>
  </r>
  <r>
    <s v="INV-1102"/>
    <x v="43"/>
    <x v="1"/>
    <x v="1"/>
    <x v="1"/>
    <s v="17"/>
    <n v="8800"/>
    <x v="38"/>
    <m/>
  </r>
  <r>
    <s v="INV-1092"/>
    <x v="44"/>
    <x v="1"/>
    <x v="1"/>
    <x v="1"/>
    <s v="8"/>
    <n v="7700"/>
    <x v="39"/>
    <m/>
  </r>
  <r>
    <s v="INV-1107"/>
    <x v="45"/>
    <x v="1"/>
    <x v="1"/>
    <x v="1"/>
    <s v="21"/>
    <n v="2950"/>
    <x v="40"/>
    <m/>
  </r>
  <r>
    <s v="INV-1087"/>
    <x v="46"/>
    <x v="1"/>
    <x v="1"/>
    <x v="1"/>
    <s v="26"/>
    <n v="2850"/>
    <x v="41"/>
    <m/>
  </r>
  <r>
    <s v="INV-1014"/>
    <x v="47"/>
    <x v="2"/>
    <x v="2"/>
    <x v="2"/>
    <s v="12"/>
    <n v="6650"/>
    <x v="42"/>
    <m/>
  </r>
  <r>
    <s v="INV-1039"/>
    <x v="48"/>
    <x v="2"/>
    <x v="2"/>
    <x v="2"/>
    <s v="15"/>
    <n v="6350"/>
    <x v="43"/>
    <m/>
  </r>
  <r>
    <s v="INV-1004"/>
    <x v="49"/>
    <x v="2"/>
    <x v="2"/>
    <x v="2"/>
    <s v="7"/>
    <n v="6100"/>
    <x v="44"/>
    <m/>
  </r>
  <r>
    <s v="INV-1029"/>
    <x v="50"/>
    <x v="2"/>
    <x v="2"/>
    <x v="2"/>
    <s v="9"/>
    <n v="6450"/>
    <x v="45"/>
    <m/>
  </r>
  <r>
    <s v="INV-1009"/>
    <x v="51"/>
    <x v="2"/>
    <x v="2"/>
    <x v="2"/>
    <s v="13"/>
    <n v="2000"/>
    <x v="46"/>
    <m/>
  </r>
  <r>
    <s v="INV-1034"/>
    <x v="51"/>
    <x v="2"/>
    <x v="2"/>
    <x v="2"/>
    <s v="90"/>
    <n v="250"/>
    <x v="25"/>
    <m/>
  </r>
  <r>
    <s v="INV-1024"/>
    <x v="52"/>
    <x v="2"/>
    <x v="2"/>
    <x v="2"/>
    <s v="167"/>
    <n v="250"/>
    <x v="47"/>
    <m/>
  </r>
  <r>
    <s v="INV-1054"/>
    <x v="53"/>
    <x v="2"/>
    <x v="2"/>
    <x v="2"/>
    <s v="140"/>
    <n v="300"/>
    <x v="48"/>
    <m/>
  </r>
  <r>
    <s v="INV-1044"/>
    <x v="54"/>
    <x v="2"/>
    <x v="2"/>
    <x v="2"/>
    <s v="11"/>
    <n v="4950"/>
    <x v="49"/>
    <m/>
  </r>
  <r>
    <s v="INV-1069"/>
    <x v="55"/>
    <x v="2"/>
    <x v="2"/>
    <x v="2"/>
    <n v="20"/>
    <n v="4350"/>
    <x v="50"/>
    <m/>
  </r>
  <r>
    <s v="INV-1049"/>
    <x v="56"/>
    <x v="2"/>
    <x v="2"/>
    <x v="2"/>
    <s v="6"/>
    <n v="7100"/>
    <x v="51"/>
    <m/>
  </r>
  <r>
    <s v="INV-1074"/>
    <x v="57"/>
    <x v="2"/>
    <x v="2"/>
    <x v="2"/>
    <s v="10"/>
    <n v="4950"/>
    <x v="52"/>
    <m/>
  </r>
  <r>
    <s v="INV-1064"/>
    <x v="58"/>
    <x v="2"/>
    <x v="2"/>
    <x v="2"/>
    <s v="24"/>
    <n v="2450"/>
    <x v="15"/>
    <m/>
  </r>
  <r>
    <s v="INV-1094"/>
    <x v="59"/>
    <x v="2"/>
    <x v="2"/>
    <x v="2"/>
    <s v="13"/>
    <n v="5000"/>
    <x v="53"/>
    <m/>
  </r>
  <r>
    <s v="INV-1109"/>
    <x v="60"/>
    <x v="2"/>
    <x v="2"/>
    <x v="2"/>
    <s v="15"/>
    <n v="2850"/>
    <x v="54"/>
    <m/>
  </r>
  <r>
    <s v="INV-1114"/>
    <x v="61"/>
    <x v="2"/>
    <x v="2"/>
    <x v="2"/>
    <s v="13"/>
    <n v="5350"/>
    <x v="55"/>
    <m/>
  </r>
  <r>
    <s v="INV-1119"/>
    <x v="62"/>
    <x v="2"/>
    <x v="2"/>
    <x v="2"/>
    <s v="7"/>
    <n v="5000"/>
    <x v="56"/>
    <m/>
  </r>
  <r>
    <s v="INV-1099"/>
    <x v="63"/>
    <x v="2"/>
    <x v="2"/>
    <x v="2"/>
    <s v="45"/>
    <n v="7000"/>
    <x v="57"/>
    <m/>
  </r>
  <r>
    <s v="INV-1019"/>
    <x v="64"/>
    <x v="2"/>
    <x v="2"/>
    <x v="2"/>
    <s v="34"/>
    <n v="5000"/>
    <x v="58"/>
    <m/>
  </r>
  <r>
    <s v="INV-1059"/>
    <x v="65"/>
    <x v="2"/>
    <x v="2"/>
    <x v="2"/>
    <s v="190"/>
    <n v="300"/>
    <x v="59"/>
    <m/>
  </r>
  <r>
    <s v="INV-1079"/>
    <x v="66"/>
    <x v="2"/>
    <x v="2"/>
    <x v="3"/>
    <s v="14"/>
    <n v="2750"/>
    <x v="60"/>
    <m/>
  </r>
  <r>
    <s v="INV-1084"/>
    <x v="67"/>
    <x v="2"/>
    <x v="2"/>
    <x v="3"/>
    <s v="13"/>
    <n v="2950"/>
    <x v="61"/>
    <m/>
  </r>
  <r>
    <s v="INV-1089"/>
    <x v="68"/>
    <x v="2"/>
    <x v="2"/>
    <x v="3"/>
    <s v="11"/>
    <n v="2600"/>
    <x v="62"/>
    <m/>
  </r>
  <r>
    <s v="INV-1104"/>
    <x v="69"/>
    <x v="2"/>
    <x v="2"/>
    <x v="3"/>
    <s v="19"/>
    <n v="2950"/>
    <x v="63"/>
    <m/>
  </r>
  <r>
    <s v="INV-1025"/>
    <x v="70"/>
    <x v="3"/>
    <x v="3"/>
    <x v="3"/>
    <s v="43"/>
    <n v="5200"/>
    <x v="64"/>
    <m/>
  </r>
  <r>
    <s v="INV-1005"/>
    <x v="71"/>
    <x v="3"/>
    <x v="3"/>
    <x v="3"/>
    <s v="5"/>
    <n v="4000"/>
    <x v="65"/>
    <m/>
  </r>
  <r>
    <s v="INV-1030"/>
    <x v="72"/>
    <x v="3"/>
    <x v="3"/>
    <x v="3"/>
    <s v="66"/>
    <n v="250"/>
    <x v="66"/>
    <m/>
  </r>
  <r>
    <s v="INV-1020"/>
    <x v="73"/>
    <x v="3"/>
    <x v="3"/>
    <x v="3"/>
    <s v="8"/>
    <n v="4100"/>
    <x v="67"/>
    <m/>
  </r>
  <r>
    <s v="INV-1015"/>
    <x v="74"/>
    <x v="3"/>
    <x v="3"/>
    <x v="3"/>
    <s v="47"/>
    <n v="4750"/>
    <x v="68"/>
    <m/>
  </r>
  <r>
    <s v="INV-1010"/>
    <x v="75"/>
    <x v="3"/>
    <x v="3"/>
    <x v="3"/>
    <s v="21"/>
    <n v="2200"/>
    <x v="4"/>
    <m/>
  </r>
  <r>
    <s v="INV-1065"/>
    <x v="76"/>
    <x v="3"/>
    <x v="3"/>
    <x v="3"/>
    <s v="15"/>
    <n v="4850"/>
    <x v="69"/>
    <m/>
  </r>
  <r>
    <s v="INV-1080"/>
    <x v="77"/>
    <x v="3"/>
    <x v="3"/>
    <x v="3"/>
    <s v="31"/>
    <n v="5700"/>
    <x v="70"/>
    <m/>
  </r>
  <r>
    <s v="INV-1045"/>
    <x v="78"/>
    <x v="3"/>
    <x v="3"/>
    <x v="3"/>
    <s v="42"/>
    <n v="5700"/>
    <x v="71"/>
    <m/>
  </r>
  <r>
    <s v="INV-1070"/>
    <x v="79"/>
    <x v="3"/>
    <x v="3"/>
    <x v="3"/>
    <s v="10"/>
    <n v="6900"/>
    <x v="72"/>
    <m/>
  </r>
  <r>
    <s v="INV-1060"/>
    <x v="80"/>
    <x v="3"/>
    <x v="3"/>
    <x v="3"/>
    <s v="5"/>
    <n v="4950"/>
    <x v="73"/>
    <m/>
  </r>
  <r>
    <s v="INV-1105"/>
    <x v="81"/>
    <x v="3"/>
    <x v="3"/>
    <x v="3"/>
    <s v="27"/>
    <n v="6200"/>
    <x v="74"/>
    <m/>
  </r>
  <r>
    <s v="INV-1120"/>
    <x v="82"/>
    <x v="3"/>
    <x v="3"/>
    <x v="3"/>
    <s v="94"/>
    <n v="350"/>
    <x v="75"/>
    <m/>
  </r>
  <r>
    <s v="INV-1085"/>
    <x v="83"/>
    <x v="3"/>
    <x v="3"/>
    <x v="3"/>
    <s v="7"/>
    <n v="5000"/>
    <x v="56"/>
    <m/>
  </r>
  <r>
    <s v="INV-1110"/>
    <x v="84"/>
    <x v="3"/>
    <x v="3"/>
    <x v="3"/>
    <s v="8"/>
    <n v="8450"/>
    <x v="76"/>
    <m/>
  </r>
  <r>
    <s v="INV-1100"/>
    <x v="85"/>
    <x v="3"/>
    <x v="3"/>
    <x v="3"/>
    <s v="10"/>
    <n v="8650"/>
    <x v="77"/>
    <m/>
  </r>
  <r>
    <s v="INV-1090"/>
    <x v="86"/>
    <x v="3"/>
    <x v="3"/>
    <x v="3"/>
    <n v="5"/>
    <n v="7150"/>
    <x v="78"/>
    <m/>
  </r>
  <r>
    <s v="INV-1055"/>
    <x v="87"/>
    <x v="3"/>
    <x v="3"/>
    <x v="3"/>
    <s v="8"/>
    <n v="6900"/>
    <x v="79"/>
    <m/>
  </r>
  <r>
    <s v="INV-1095"/>
    <x v="88"/>
    <x v="3"/>
    <x v="3"/>
    <x v="3"/>
    <s v="14"/>
    <n v="8100"/>
    <x v="80"/>
    <m/>
  </r>
  <r>
    <s v="INV-1035"/>
    <x v="89"/>
    <x v="3"/>
    <x v="3"/>
    <x v="3"/>
    <s v="26"/>
    <n v="2250"/>
    <x v="81"/>
    <m/>
  </r>
  <r>
    <s v="INV-1115"/>
    <x v="90"/>
    <x v="3"/>
    <x v="3"/>
    <x v="3"/>
    <s v="31"/>
    <n v="6550"/>
    <x v="82"/>
    <m/>
  </r>
  <r>
    <s v="INV-1040"/>
    <x v="91"/>
    <x v="3"/>
    <x v="3"/>
    <x v="4"/>
    <s v="19"/>
    <n v="2100"/>
    <x v="83"/>
    <m/>
  </r>
  <r>
    <s v="INV-1075"/>
    <x v="92"/>
    <x v="3"/>
    <x v="3"/>
    <x v="4"/>
    <s v="17"/>
    <n v="2450"/>
    <x v="84"/>
    <m/>
  </r>
  <r>
    <s v="INV-1050"/>
    <x v="93"/>
    <x v="3"/>
    <x v="3"/>
    <x v="4"/>
    <s v="12"/>
    <n v="2550"/>
    <x v="85"/>
    <m/>
  </r>
  <r>
    <s v="INV-1076"/>
    <x v="94"/>
    <x v="4"/>
    <x v="4"/>
    <x v="4"/>
    <s v="24"/>
    <n v="2450"/>
    <x v="15"/>
    <m/>
  </r>
  <r>
    <s v="INV-1106"/>
    <x v="95"/>
    <x v="4"/>
    <x v="4"/>
    <x v="4"/>
    <s v="134"/>
    <n v="350"/>
    <x v="86"/>
    <m/>
  </r>
  <r>
    <s v="INV-1101"/>
    <x v="96"/>
    <x v="4"/>
    <x v="4"/>
    <x v="4"/>
    <s v="113"/>
    <n v="350"/>
    <x v="87"/>
    <m/>
  </r>
  <r>
    <s v="INV-1031"/>
    <x v="97"/>
    <x v="4"/>
    <x v="4"/>
    <x v="4"/>
    <s v="185"/>
    <n v="250"/>
    <x v="88"/>
    <m/>
  </r>
  <r>
    <s v="INV-1071"/>
    <x v="98"/>
    <x v="4"/>
    <x v="4"/>
    <x v="4"/>
    <s v="32"/>
    <n v="5600"/>
    <x v="89"/>
    <m/>
  </r>
  <r>
    <s v="INV-1041"/>
    <x v="99"/>
    <x v="4"/>
    <x v="4"/>
    <x v="4"/>
    <s v="6"/>
    <n v="4350"/>
    <x v="90"/>
    <m/>
  </r>
  <r>
    <s v="INV-1056"/>
    <x v="100"/>
    <x v="4"/>
    <x v="4"/>
    <x v="4"/>
    <s v="13"/>
    <n v="2450"/>
    <x v="91"/>
    <m/>
  </r>
  <r>
    <s v="INV-1081"/>
    <x v="101"/>
    <x v="4"/>
    <x v="4"/>
    <x v="4"/>
    <s v="9"/>
    <n v="5350"/>
    <x v="92"/>
    <m/>
  </r>
  <r>
    <s v="INV-1096"/>
    <x v="102"/>
    <x v="4"/>
    <x v="4"/>
    <x v="4"/>
    <s v="16"/>
    <n v="7950"/>
    <x v="93"/>
    <m/>
  </r>
  <r>
    <s v="INV-1116"/>
    <x v="103"/>
    <x v="4"/>
    <x v="4"/>
    <x v="4"/>
    <s v="29"/>
    <n v="2750"/>
    <x v="94"/>
    <m/>
  </r>
  <r>
    <s v="INV-1051"/>
    <x v="104"/>
    <x v="4"/>
    <x v="4"/>
    <x v="4"/>
    <s v="104"/>
    <n v="300"/>
    <x v="95"/>
    <m/>
  </r>
  <r>
    <s v="INV-1021"/>
    <x v="105"/>
    <x v="4"/>
    <x v="4"/>
    <x v="4"/>
    <s v="12"/>
    <n v="6750"/>
    <x v="96"/>
    <m/>
  </r>
  <r>
    <s v="INV-1036"/>
    <x v="106"/>
    <x v="4"/>
    <x v="4"/>
    <x v="4"/>
    <s v="14"/>
    <n v="6750"/>
    <x v="27"/>
    <m/>
  </r>
  <r>
    <s v="INV-1066"/>
    <x v="107"/>
    <x v="4"/>
    <x v="4"/>
    <x v="4"/>
    <s v="29"/>
    <n v="5600"/>
    <x v="97"/>
    <m/>
  </r>
  <r>
    <s v="INV-1046"/>
    <x v="108"/>
    <x v="4"/>
    <x v="4"/>
    <x v="4"/>
    <s v="24"/>
    <n v="2750"/>
    <x v="98"/>
    <m/>
  </r>
  <r>
    <s v="INV-1061"/>
    <x v="109"/>
    <x v="4"/>
    <x v="4"/>
    <x v="4"/>
    <s v="25"/>
    <n v="5800"/>
    <x v="99"/>
    <m/>
  </r>
  <r>
    <s v="INV-1086"/>
    <x v="110"/>
    <x v="4"/>
    <x v="4"/>
    <x v="4"/>
    <s v="42"/>
    <n v="6550"/>
    <x v="100"/>
    <m/>
  </r>
  <r>
    <s v="INV-1001"/>
    <x v="111"/>
    <x v="4"/>
    <x v="4"/>
    <x v="4"/>
    <s v="5"/>
    <n v="6650"/>
    <x v="101"/>
    <m/>
  </r>
  <r>
    <s v="INV-1111"/>
    <x v="112"/>
    <x v="4"/>
    <x v="4"/>
    <x v="4"/>
    <s v="23"/>
    <n v="2850"/>
    <x v="102"/>
    <m/>
  </r>
  <r>
    <s v="INV-1011"/>
    <x v="113"/>
    <x v="4"/>
    <x v="4"/>
    <x v="4"/>
    <s v="19"/>
    <n v="6350"/>
    <x v="103"/>
    <m/>
  </r>
  <r>
    <s v="INV-1091"/>
    <x v="114"/>
    <x v="4"/>
    <x v="4"/>
    <x v="4"/>
    <s v="191"/>
    <n v="350"/>
    <x v="104"/>
    <m/>
  </r>
  <r>
    <s v="INV-1026"/>
    <x v="115"/>
    <x v="4"/>
    <x v="4"/>
    <x v="4"/>
    <s v="11"/>
    <n v="4250"/>
    <x v="105"/>
    <m/>
  </r>
  <r>
    <s v="INV-1016"/>
    <x v="116"/>
    <x v="4"/>
    <x v="4"/>
    <x v="4"/>
    <s v="143"/>
    <n v="250"/>
    <x v="78"/>
    <m/>
  </r>
  <r>
    <s v="INV-1006"/>
    <x v="116"/>
    <x v="4"/>
    <x v="4"/>
    <x v="4"/>
    <s v="11"/>
    <n v="3800"/>
    <x v="10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03635-FF39-604E-B0F5-B70B56D81D10}" name="PivotTable19"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K27:L32"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 showAll="0"/>
    <pivotField showAll="0"/>
    <pivotField showAll="0"/>
    <pivotField numFmtId="168" showAll="0"/>
    <pivotField dataField="1" numFmtId="168"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x v="4"/>
    </i>
  </rowItems>
  <colItems count="1">
    <i/>
  </colItems>
  <dataFields count="1">
    <dataField name="Sum of Total_Sale_SAR" fld="7" baseField="0" baseItem="0" numFmtId="17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11145-DD0A-7044-97C6-69896DA81CCA}" name="PivotTable18"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P3:Q8"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6">
        <item x="0"/>
        <item x="1"/>
        <item x="2"/>
        <item x="3"/>
        <item x="4"/>
        <item t="default"/>
      </items>
    </pivotField>
    <pivotField showAll="0"/>
    <pivotField numFmtId="168" showAll="0"/>
    <pivotField dataField="1" numFmtId="168"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x v="4"/>
    </i>
  </rowItems>
  <colItems count="1">
    <i/>
  </colItems>
  <dataFields count="1">
    <dataField name="Sum of Total_Sale_SAR" fld="7" baseField="0" baseItem="0" numFmtId="17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29DEBE-25AB-7A4D-BCC0-E645B67B60C6}" name="PivotTable17"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K3:L8"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0"/>
        <item x="1"/>
        <item x="2"/>
        <item x="3"/>
        <item x="4"/>
        <item t="default"/>
      </items>
    </pivotField>
    <pivotField showAll="0"/>
    <pivotField showAll="0"/>
    <pivotField numFmtId="168" showAll="0"/>
    <pivotField dataField="1" numFmtId="168"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x v="4"/>
    </i>
  </rowItems>
  <colItems count="1">
    <i/>
  </colItems>
  <dataFields count="1">
    <dataField name="Sum of Total_Sale_SAR" fld="7" baseField="0" baseItem="0" numFmtId="17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507463-8729-5D43-A642-A17D2AAD8D9C}" name="PivotTable20"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P27:Q6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8" showAll="0"/>
    <pivotField dataField="1" numFmtId="168" showAll="0">
      <items count="108">
        <item x="66"/>
        <item x="65"/>
        <item x="25"/>
        <item x="16"/>
        <item x="73"/>
        <item x="46"/>
        <item x="90"/>
        <item x="36"/>
        <item x="62"/>
        <item x="21"/>
        <item x="85"/>
        <item x="10"/>
        <item x="95"/>
        <item x="91"/>
        <item x="20"/>
        <item x="67"/>
        <item x="75"/>
        <item x="101"/>
        <item x="3"/>
        <item x="56"/>
        <item x="78"/>
        <item x="28"/>
        <item x="13"/>
        <item x="14"/>
        <item x="61"/>
        <item x="60"/>
        <item x="87"/>
        <item x="83"/>
        <item x="23"/>
        <item x="19"/>
        <item x="84"/>
        <item x="47"/>
        <item x="106"/>
        <item x="48"/>
        <item x="51"/>
        <item x="44"/>
        <item x="54"/>
        <item x="1"/>
        <item x="4"/>
        <item x="88"/>
        <item x="9"/>
        <item x="105"/>
        <item x="86"/>
        <item x="92"/>
        <item x="52"/>
        <item x="5"/>
        <item x="29"/>
        <item x="26"/>
        <item x="49"/>
        <item x="79"/>
        <item x="18"/>
        <item x="63"/>
        <item x="32"/>
        <item x="59"/>
        <item x="45"/>
        <item x="81"/>
        <item x="15"/>
        <item x="11"/>
        <item x="39"/>
        <item x="40"/>
        <item x="17"/>
        <item x="2"/>
        <item x="53"/>
        <item x="34"/>
        <item x="102"/>
        <item x="98"/>
        <item x="104"/>
        <item x="76"/>
        <item x="72"/>
        <item x="55"/>
        <item x="69"/>
        <item x="41"/>
        <item x="94"/>
        <item x="42"/>
        <item x="96"/>
        <item x="33"/>
        <item x="77"/>
        <item x="50"/>
        <item x="6"/>
        <item x="27"/>
        <item x="43"/>
        <item x="80"/>
        <item x="35"/>
        <item x="103"/>
        <item x="22"/>
        <item x="93"/>
        <item x="7"/>
        <item x="37"/>
        <item x="99"/>
        <item x="38"/>
        <item x="97"/>
        <item x="74"/>
        <item x="58"/>
        <item x="12"/>
        <item x="70"/>
        <item x="89"/>
        <item x="24"/>
        <item x="0"/>
        <item x="82"/>
        <item x="68"/>
        <item x="64"/>
        <item x="8"/>
        <item x="30"/>
        <item x="71"/>
        <item x="31"/>
        <item x="100"/>
        <item x="57"/>
        <item t="default"/>
      </items>
    </pivotField>
    <pivotField showAll="0"/>
    <pivotField showAll="0">
      <items count="7">
        <item x="0"/>
        <item x="1"/>
        <item x="2"/>
        <item x="3"/>
        <item x="4"/>
        <item x="5"/>
        <item t="default"/>
      </items>
    </pivotField>
    <pivotField axis="axisRow" showAll="0">
      <items count="6">
        <item x="0"/>
        <item x="1"/>
        <item x="2"/>
        <item x="3"/>
        <item x="4"/>
        <item t="default"/>
      </items>
    </pivotField>
  </pivotFields>
  <rowFields count="2">
    <field x="10"/>
    <field x="1"/>
  </rowFields>
  <rowItems count="38">
    <i>
      <x v="1"/>
    </i>
    <i r="1">
      <x v="1"/>
    </i>
    <i r="1">
      <x v="2"/>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rowItems>
  <colItems count="1">
    <i/>
  </colItems>
  <dataFields count="1">
    <dataField name="Sum of Total_Sale_SAR" fld="7" baseField="0" baseItem="0" numFmtId="17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4FE548-0B31-5B47-8E4D-2997CF8DF2B4}" name="Table1" displayName="Table1" ref="A2:H122" totalsRowShown="0" headerRowDxfId="0" dataDxfId="1" headerRowBorderDxfId="11" tableBorderDxfId="12" totalsRowBorderDxfId="10">
  <autoFilter ref="A2:H122" xr:uid="{00000000-0001-0000-0000-000000000000}"/>
  <sortState xmlns:xlrd2="http://schemas.microsoft.com/office/spreadsheetml/2017/richdata2" ref="A3:H122">
    <sortCondition ref="E3:E122"/>
    <sortCondition ref="D3:D122"/>
    <sortCondition ref="C3:C122"/>
    <sortCondition ref="B3:B122"/>
  </sortState>
  <tableColumns count="8">
    <tableColumn id="1" xr3:uid="{A408C0CF-2670-B743-A14D-E0CAA865ADA1}" name="Invoice_ID" dataDxfId="9"/>
    <tableColumn id="2" xr3:uid="{4CBC401E-B016-CE4E-A1D2-E4A9F363712E}" name="Date" dataDxfId="8"/>
    <tableColumn id="3" xr3:uid="{60B8D723-C6AB-4F49-93C9-FFCC40B2D5BB}" name="Client_Name" dataDxfId="7"/>
    <tableColumn id="4" xr3:uid="{DB658A4F-C35C-A843-9108-F3AA62838589}" name="Region" dataDxfId="6"/>
    <tableColumn id="5" xr3:uid="{69170144-7861-1242-9C2E-DA57CFD922F7}" name="Product_Category" dataDxfId="5"/>
    <tableColumn id="6" xr3:uid="{4AE7CF06-FD17-ED48-9134-8AE44DDFEF28}" name="Qty" dataDxfId="4"/>
    <tableColumn id="7" xr3:uid="{5007AE31-826D-334C-9A76-E7F1287C8700}" name="Unit_Price_SAR" dataDxfId="3"/>
    <tableColumn id="8" xr3:uid="{DB890EBB-A0B0-F14A-9A9F-25B6B451C78F}" name="Total_Sale_SAR" dataDxfId="2" dataCellStyle="Comma">
      <calculatedColumnFormula>F3*G3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2"/>
  <sheetViews>
    <sheetView tabSelected="1" zoomScaleNormal="70" workbookViewId="0">
      <pane ySplit="2" topLeftCell="A3" activePane="bottomLeft" state="frozen"/>
      <selection activeCell="V1" sqref="V1"/>
      <selection pane="bottomLeft" activeCell="K94" sqref="K94"/>
    </sheetView>
  </sheetViews>
  <sheetFormatPr baseColWidth="10" defaultColWidth="8.6640625" defaultRowHeight="15" x14ac:dyDescent="0.2"/>
  <cols>
    <col min="1" max="1" width="12.1640625" customWidth="1"/>
    <col min="2" max="2" width="14" customWidth="1"/>
    <col min="3" max="3" width="16" customWidth="1"/>
    <col min="4" max="4" width="12" customWidth="1"/>
    <col min="5" max="5" width="18.1640625" customWidth="1"/>
    <col min="6" max="6" width="8" customWidth="1"/>
    <col min="7" max="7" width="16.5" customWidth="1"/>
    <col min="8" max="8" width="16.6640625" customWidth="1"/>
    <col min="12" max="12" width="7.33203125" customWidth="1"/>
    <col min="13" max="13" width="17.1640625" customWidth="1"/>
    <col min="14" max="14" width="8.6640625" customWidth="1"/>
    <col min="16" max="16" width="12.6640625" customWidth="1"/>
    <col min="30" max="30" width="13.5" bestFit="1" customWidth="1"/>
    <col min="31" max="31" width="19" bestFit="1" customWidth="1"/>
    <col min="37" max="37" width="13.5" bestFit="1" customWidth="1"/>
    <col min="38" max="38" width="19" bestFit="1" customWidth="1"/>
    <col min="42" max="42" width="13.5" bestFit="1" customWidth="1"/>
    <col min="43" max="43" width="19" bestFit="1" customWidth="1"/>
  </cols>
  <sheetData>
    <row r="1" spans="1:16" ht="21.75" customHeight="1" x14ac:dyDescent="0.2">
      <c r="A1" s="85" t="s">
        <v>0</v>
      </c>
      <c r="B1" s="85"/>
      <c r="C1" s="85"/>
      <c r="D1" s="85"/>
      <c r="E1" s="85"/>
      <c r="F1" s="85"/>
      <c r="G1" s="85"/>
      <c r="H1" s="85"/>
      <c r="N1" s="43"/>
    </row>
    <row r="2" spans="1:16" ht="30" customHeight="1" x14ac:dyDescent="0.2">
      <c r="A2" s="98" t="s">
        <v>1</v>
      </c>
      <c r="B2" s="99" t="s">
        <v>2</v>
      </c>
      <c r="C2" s="99" t="s">
        <v>3</v>
      </c>
      <c r="D2" s="99" t="s">
        <v>4</v>
      </c>
      <c r="E2" s="99" t="s">
        <v>5</v>
      </c>
      <c r="F2" s="99" t="s">
        <v>6</v>
      </c>
      <c r="G2" s="99" t="s">
        <v>7</v>
      </c>
      <c r="H2" s="100" t="s">
        <v>8</v>
      </c>
      <c r="J2" s="1" t="s">
        <v>4</v>
      </c>
      <c r="K2" s="44" t="s">
        <v>394</v>
      </c>
      <c r="M2" s="1" t="s">
        <v>5</v>
      </c>
      <c r="N2" s="47" t="s">
        <v>394</v>
      </c>
      <c r="P2" s="1" t="s">
        <v>3</v>
      </c>
    </row>
    <row r="3" spans="1:16" ht="15" customHeight="1" x14ac:dyDescent="0.2">
      <c r="A3" s="95" t="s">
        <v>106</v>
      </c>
      <c r="B3" s="67">
        <v>44564</v>
      </c>
      <c r="C3" s="4" t="s">
        <v>12</v>
      </c>
      <c r="D3" s="4" t="s">
        <v>38</v>
      </c>
      <c r="E3" s="4" t="s">
        <v>39</v>
      </c>
      <c r="F3" s="4" t="s">
        <v>107</v>
      </c>
      <c r="G3" s="48">
        <v>5450</v>
      </c>
      <c r="H3" s="97">
        <f t="shared" ref="H3:H34" si="0">F3*G3</f>
        <v>201650</v>
      </c>
      <c r="J3" s="2" t="s">
        <v>13</v>
      </c>
      <c r="K3">
        <f>LEN(D3)</f>
        <v>6</v>
      </c>
      <c r="M3" s="4" t="s">
        <v>174</v>
      </c>
      <c r="N3" s="45" cm="1">
        <f t="array" ref="N3:N122">LEN(E3:E122)</f>
        <v>11</v>
      </c>
      <c r="P3" s="4" t="s">
        <v>84</v>
      </c>
    </row>
    <row r="4" spans="1:16" ht="15" customHeight="1" x14ac:dyDescent="0.2">
      <c r="A4" s="95" t="s">
        <v>88</v>
      </c>
      <c r="B4" s="67">
        <v>44569</v>
      </c>
      <c r="C4" s="4" t="s">
        <v>12</v>
      </c>
      <c r="D4" s="4" t="s">
        <v>38</v>
      </c>
      <c r="E4" s="4" t="s">
        <v>39</v>
      </c>
      <c r="F4" s="4" t="s">
        <v>57</v>
      </c>
      <c r="G4" s="48">
        <v>3750</v>
      </c>
      <c r="H4" s="97">
        <f t="shared" si="0"/>
        <v>45000</v>
      </c>
      <c r="J4" s="4" t="s">
        <v>17</v>
      </c>
      <c r="K4">
        <f t="shared" ref="K4:K67" si="1">LEN(D4)</f>
        <v>6</v>
      </c>
      <c r="M4" s="4" t="s">
        <v>39</v>
      </c>
      <c r="N4" s="45">
        <v>11</v>
      </c>
      <c r="P4" s="2" t="s">
        <v>75</v>
      </c>
    </row>
    <row r="5" spans="1:16" ht="15" customHeight="1" x14ac:dyDescent="0.2">
      <c r="A5" s="95" t="s">
        <v>67</v>
      </c>
      <c r="B5" s="67">
        <v>44570</v>
      </c>
      <c r="C5" s="2" t="s">
        <v>12</v>
      </c>
      <c r="D5" s="4" t="s">
        <v>38</v>
      </c>
      <c r="E5" s="4" t="s">
        <v>39</v>
      </c>
      <c r="F5" s="4" t="s">
        <v>35</v>
      </c>
      <c r="G5" s="48">
        <v>6350</v>
      </c>
      <c r="H5" s="97">
        <f t="shared" si="0"/>
        <v>63500</v>
      </c>
      <c r="J5" s="2" t="s">
        <v>21</v>
      </c>
      <c r="K5">
        <f t="shared" si="1"/>
        <v>6</v>
      </c>
      <c r="M5" s="4" t="s">
        <v>14</v>
      </c>
      <c r="N5" s="45">
        <v>11</v>
      </c>
      <c r="P5" s="4" t="s">
        <v>59</v>
      </c>
    </row>
    <row r="6" spans="1:16" ht="15" customHeight="1" x14ac:dyDescent="0.2">
      <c r="A6" s="95" t="s">
        <v>36</v>
      </c>
      <c r="B6" s="67">
        <v>44586</v>
      </c>
      <c r="C6" s="2" t="s">
        <v>12</v>
      </c>
      <c r="D6" s="4" t="s">
        <v>38</v>
      </c>
      <c r="E6" s="2" t="s">
        <v>39</v>
      </c>
      <c r="F6" s="4" t="s">
        <v>40</v>
      </c>
      <c r="G6" s="48">
        <v>250</v>
      </c>
      <c r="H6" s="97">
        <f t="shared" si="0"/>
        <v>34250</v>
      </c>
      <c r="J6" s="4" t="s">
        <v>25</v>
      </c>
      <c r="K6">
        <f t="shared" si="1"/>
        <v>6</v>
      </c>
      <c r="M6" s="4" t="s">
        <v>65</v>
      </c>
      <c r="N6" s="45">
        <v>11</v>
      </c>
      <c r="P6" s="4" t="s">
        <v>37</v>
      </c>
    </row>
    <row r="7" spans="1:16" ht="15" customHeight="1" x14ac:dyDescent="0.2">
      <c r="A7" s="96" t="s">
        <v>126</v>
      </c>
      <c r="B7" s="67">
        <v>44595</v>
      </c>
      <c r="C7" s="4" t="s">
        <v>12</v>
      </c>
      <c r="D7" s="2" t="s">
        <v>38</v>
      </c>
      <c r="E7" s="4" t="s">
        <v>39</v>
      </c>
      <c r="F7" s="2" t="s">
        <v>127</v>
      </c>
      <c r="G7" s="50">
        <v>300</v>
      </c>
      <c r="H7" s="97">
        <f t="shared" si="0"/>
        <v>46200</v>
      </c>
      <c r="J7" s="2" t="s">
        <v>28</v>
      </c>
      <c r="K7">
        <f t="shared" si="1"/>
        <v>6</v>
      </c>
      <c r="M7" s="2" t="s">
        <v>18</v>
      </c>
      <c r="N7" s="46">
        <v>11</v>
      </c>
      <c r="P7" s="4" t="s">
        <v>69</v>
      </c>
    </row>
    <row r="8" spans="1:16" ht="15" customHeight="1" x14ac:dyDescent="0.2">
      <c r="A8" s="95" t="s">
        <v>159</v>
      </c>
      <c r="B8" s="68">
        <v>44595</v>
      </c>
      <c r="C8" s="2" t="s">
        <v>12</v>
      </c>
      <c r="D8" s="4" t="s">
        <v>38</v>
      </c>
      <c r="E8" s="4" t="s">
        <v>39</v>
      </c>
      <c r="F8" s="4" t="s">
        <v>26</v>
      </c>
      <c r="G8" s="48">
        <v>7400</v>
      </c>
      <c r="H8" s="97">
        <f t="shared" si="0"/>
        <v>51800</v>
      </c>
      <c r="J8" s="4" t="s">
        <v>38</v>
      </c>
      <c r="K8">
        <f t="shared" si="1"/>
        <v>6</v>
      </c>
      <c r="M8" s="2" t="s">
        <v>29</v>
      </c>
      <c r="N8">
        <v>11</v>
      </c>
      <c r="P8" s="4" t="s">
        <v>33</v>
      </c>
    </row>
    <row r="9" spans="1:16" ht="15" customHeight="1" x14ac:dyDescent="0.2">
      <c r="A9" s="95" t="s">
        <v>147</v>
      </c>
      <c r="B9" s="68">
        <v>44605</v>
      </c>
      <c r="C9" s="4" t="s">
        <v>12</v>
      </c>
      <c r="D9" s="4" t="s">
        <v>38</v>
      </c>
      <c r="E9" s="4" t="s">
        <v>39</v>
      </c>
      <c r="F9" s="4" t="s">
        <v>23</v>
      </c>
      <c r="G9" s="48">
        <v>7500</v>
      </c>
      <c r="H9" s="97">
        <f t="shared" si="0"/>
        <v>45000</v>
      </c>
      <c r="J9" s="2" t="s">
        <v>43</v>
      </c>
      <c r="K9">
        <f t="shared" si="1"/>
        <v>6</v>
      </c>
      <c r="M9" s="2" t="s">
        <v>22</v>
      </c>
      <c r="N9">
        <v>11</v>
      </c>
    </row>
    <row r="10" spans="1:16" ht="15" customHeight="1" x14ac:dyDescent="0.2">
      <c r="A10" s="95" t="s">
        <v>120</v>
      </c>
      <c r="B10" s="68">
        <v>44609</v>
      </c>
      <c r="C10" s="2" t="s">
        <v>12</v>
      </c>
      <c r="D10" s="4" t="s">
        <v>38</v>
      </c>
      <c r="E10" s="4" t="s">
        <v>39</v>
      </c>
      <c r="F10" s="4" t="s">
        <v>57</v>
      </c>
      <c r="G10" s="48">
        <v>7500</v>
      </c>
      <c r="H10" s="97">
        <f t="shared" si="0"/>
        <v>90000</v>
      </c>
      <c r="J10" s="4" t="s">
        <v>50</v>
      </c>
      <c r="K10">
        <f t="shared" si="1"/>
        <v>6</v>
      </c>
      <c r="M10" s="2" t="s">
        <v>53</v>
      </c>
      <c r="N10">
        <v>11</v>
      </c>
    </row>
    <row r="11" spans="1:16" ht="15" customHeight="1" x14ac:dyDescent="0.2">
      <c r="A11" s="96" t="s">
        <v>153</v>
      </c>
      <c r="B11" s="68">
        <v>44614</v>
      </c>
      <c r="C11" s="2" t="s">
        <v>12</v>
      </c>
      <c r="D11" s="2" t="s">
        <v>38</v>
      </c>
      <c r="E11" s="4" t="s">
        <v>39</v>
      </c>
      <c r="F11" s="2" t="s">
        <v>154</v>
      </c>
      <c r="G11" s="50">
        <v>7600</v>
      </c>
      <c r="H11" s="97">
        <f t="shared" si="0"/>
        <v>136800</v>
      </c>
      <c r="J11" s="4" t="s">
        <v>72</v>
      </c>
      <c r="K11">
        <f t="shared" si="1"/>
        <v>6</v>
      </c>
      <c r="M11" s="4" t="s">
        <v>56</v>
      </c>
      <c r="N11">
        <v>11</v>
      </c>
    </row>
    <row r="12" spans="1:16" ht="15" customHeight="1" x14ac:dyDescent="0.2">
      <c r="A12" s="96" t="s">
        <v>177</v>
      </c>
      <c r="B12" s="68">
        <v>44653</v>
      </c>
      <c r="C12" s="4" t="s">
        <v>12</v>
      </c>
      <c r="D12" s="2" t="s">
        <v>38</v>
      </c>
      <c r="E12" s="2" t="s">
        <v>39</v>
      </c>
      <c r="F12" s="2" t="s">
        <v>107</v>
      </c>
      <c r="G12" s="50">
        <v>6200</v>
      </c>
      <c r="H12" s="97">
        <f t="shared" si="0"/>
        <v>229400</v>
      </c>
      <c r="J12" s="2" t="s">
        <v>94</v>
      </c>
      <c r="K12">
        <f t="shared" si="1"/>
        <v>6</v>
      </c>
      <c r="M12" s="2" t="s">
        <v>118</v>
      </c>
      <c r="N12">
        <v>11</v>
      </c>
    </row>
    <row r="13" spans="1:16" ht="15" customHeight="1" x14ac:dyDescent="0.2">
      <c r="A13" s="95" t="s">
        <v>210</v>
      </c>
      <c r="B13" s="67">
        <v>44654</v>
      </c>
      <c r="C13" s="4" t="s">
        <v>12</v>
      </c>
      <c r="D13" s="4" t="s">
        <v>38</v>
      </c>
      <c r="E13" s="2" t="s">
        <v>39</v>
      </c>
      <c r="F13" s="4" t="s">
        <v>211</v>
      </c>
      <c r="G13" s="48">
        <v>350</v>
      </c>
      <c r="H13" s="97">
        <f t="shared" si="0"/>
        <v>46550</v>
      </c>
      <c r="K13">
        <f t="shared" si="1"/>
        <v>6</v>
      </c>
      <c r="M13" s="4" t="s">
        <v>62</v>
      </c>
      <c r="N13">
        <v>11</v>
      </c>
    </row>
    <row r="14" spans="1:16" ht="15" customHeight="1" x14ac:dyDescent="0.2">
      <c r="A14" s="95" t="s">
        <v>183</v>
      </c>
      <c r="B14" s="68">
        <v>44659</v>
      </c>
      <c r="C14" s="4" t="s">
        <v>12</v>
      </c>
      <c r="D14" s="4" t="s">
        <v>38</v>
      </c>
      <c r="E14" s="4" t="s">
        <v>39</v>
      </c>
      <c r="F14" s="4" t="s">
        <v>184</v>
      </c>
      <c r="G14" s="48">
        <v>350</v>
      </c>
      <c r="H14" s="97">
        <f t="shared" si="0"/>
        <v>31150</v>
      </c>
      <c r="K14">
        <f t="shared" si="1"/>
        <v>6</v>
      </c>
      <c r="M14" s="4" t="s">
        <v>188</v>
      </c>
      <c r="N14">
        <v>11</v>
      </c>
    </row>
    <row r="15" spans="1:16" ht="15" customHeight="1" x14ac:dyDescent="0.2">
      <c r="A15" s="95" t="s">
        <v>170</v>
      </c>
      <c r="B15" s="68">
        <v>44663</v>
      </c>
      <c r="C15" s="2" t="s">
        <v>12</v>
      </c>
      <c r="D15" s="4" t="s">
        <v>38</v>
      </c>
      <c r="E15" s="2" t="s">
        <v>39</v>
      </c>
      <c r="F15" s="4" t="s">
        <v>26</v>
      </c>
      <c r="G15" s="48">
        <v>8550</v>
      </c>
      <c r="H15" s="97">
        <f t="shared" si="0"/>
        <v>59850</v>
      </c>
      <c r="K15">
        <f t="shared" si="1"/>
        <v>6</v>
      </c>
      <c r="N15">
        <v>11</v>
      </c>
    </row>
    <row r="16" spans="1:16" ht="15" customHeight="1" x14ac:dyDescent="0.2">
      <c r="A16" s="96" t="s">
        <v>113</v>
      </c>
      <c r="B16" s="68">
        <v>44668</v>
      </c>
      <c r="C16" s="4" t="s">
        <v>12</v>
      </c>
      <c r="D16" s="2" t="s">
        <v>38</v>
      </c>
      <c r="E16" s="2" t="s">
        <v>39</v>
      </c>
      <c r="F16" s="2" t="s">
        <v>26</v>
      </c>
      <c r="G16" s="50">
        <v>4450</v>
      </c>
      <c r="H16" s="97">
        <f t="shared" si="0"/>
        <v>31150</v>
      </c>
      <c r="K16">
        <f t="shared" si="1"/>
        <v>6</v>
      </c>
      <c r="N16">
        <v>11</v>
      </c>
    </row>
    <row r="17" spans="1:14" ht="15" customHeight="1" x14ac:dyDescent="0.2">
      <c r="A17" s="96" t="s">
        <v>140</v>
      </c>
      <c r="B17" s="67">
        <v>44684</v>
      </c>
      <c r="C17" s="2" t="s">
        <v>12</v>
      </c>
      <c r="D17" s="2" t="s">
        <v>38</v>
      </c>
      <c r="E17" s="2" t="s">
        <v>39</v>
      </c>
      <c r="F17" s="2" t="s">
        <v>141</v>
      </c>
      <c r="G17" s="50">
        <v>5500</v>
      </c>
      <c r="H17" s="97">
        <f t="shared" si="0"/>
        <v>176000</v>
      </c>
      <c r="K17">
        <f t="shared" si="1"/>
        <v>6</v>
      </c>
      <c r="N17">
        <v>11</v>
      </c>
    </row>
    <row r="18" spans="1:14" ht="15" customHeight="1" x14ac:dyDescent="0.2">
      <c r="A18" s="96" t="s">
        <v>192</v>
      </c>
      <c r="B18" s="67">
        <v>44703</v>
      </c>
      <c r="C18" s="2" t="s">
        <v>12</v>
      </c>
      <c r="D18" s="2" t="s">
        <v>38</v>
      </c>
      <c r="E18" s="2" t="s">
        <v>39</v>
      </c>
      <c r="F18" s="2">
        <v>106</v>
      </c>
      <c r="G18" s="50">
        <v>350</v>
      </c>
      <c r="H18" s="97">
        <f t="shared" si="0"/>
        <v>37100</v>
      </c>
      <c r="K18">
        <f t="shared" si="1"/>
        <v>6</v>
      </c>
      <c r="N18">
        <v>11</v>
      </c>
    </row>
    <row r="19" spans="1:14" ht="15" customHeight="1" x14ac:dyDescent="0.2">
      <c r="A19" s="96" t="s">
        <v>78</v>
      </c>
      <c r="B19" s="67">
        <v>44704</v>
      </c>
      <c r="C19" s="2" t="s">
        <v>12</v>
      </c>
      <c r="D19" s="2" t="s">
        <v>38</v>
      </c>
      <c r="E19" s="4" t="s">
        <v>39</v>
      </c>
      <c r="F19" s="2" t="s">
        <v>35</v>
      </c>
      <c r="G19" s="50">
        <v>3800</v>
      </c>
      <c r="H19" s="97">
        <f t="shared" si="0"/>
        <v>38000</v>
      </c>
      <c r="K19">
        <f t="shared" si="1"/>
        <v>6</v>
      </c>
      <c r="N19">
        <v>11</v>
      </c>
    </row>
    <row r="20" spans="1:14" ht="15" customHeight="1" x14ac:dyDescent="0.2">
      <c r="A20" s="96" t="s">
        <v>52</v>
      </c>
      <c r="B20" s="67">
        <v>44707</v>
      </c>
      <c r="C20" s="4" t="s">
        <v>12</v>
      </c>
      <c r="D20" s="2" t="s">
        <v>38</v>
      </c>
      <c r="E20" s="4" t="s">
        <v>14</v>
      </c>
      <c r="F20" s="2" t="s">
        <v>54</v>
      </c>
      <c r="G20" s="50">
        <v>2100</v>
      </c>
      <c r="H20" s="97">
        <f t="shared" si="0"/>
        <v>58800</v>
      </c>
      <c r="K20">
        <f t="shared" si="1"/>
        <v>6</v>
      </c>
      <c r="N20">
        <v>6</v>
      </c>
    </row>
    <row r="21" spans="1:14" ht="15" customHeight="1" x14ac:dyDescent="0.2">
      <c r="A21" s="96" t="s">
        <v>20</v>
      </c>
      <c r="B21" s="67">
        <v>44719</v>
      </c>
      <c r="C21" s="2" t="s">
        <v>12</v>
      </c>
      <c r="D21" s="2" t="s">
        <v>38</v>
      </c>
      <c r="E21" s="4" t="s">
        <v>14</v>
      </c>
      <c r="F21" s="2" t="s">
        <v>23</v>
      </c>
      <c r="G21" s="50">
        <v>4100</v>
      </c>
      <c r="H21" s="97">
        <f t="shared" si="0"/>
        <v>24600</v>
      </c>
      <c r="K21">
        <f t="shared" si="1"/>
        <v>6</v>
      </c>
      <c r="N21">
        <v>6</v>
      </c>
    </row>
    <row r="22" spans="1:14" ht="15" customHeight="1" x14ac:dyDescent="0.2">
      <c r="A22" s="96" t="s">
        <v>98</v>
      </c>
      <c r="B22" s="68">
        <v>44720</v>
      </c>
      <c r="C22" s="4" t="s">
        <v>12</v>
      </c>
      <c r="D22" s="2" t="s">
        <v>38</v>
      </c>
      <c r="E22" s="4" t="s">
        <v>14</v>
      </c>
      <c r="F22" s="2" t="s">
        <v>99</v>
      </c>
      <c r="G22" s="50">
        <v>2100</v>
      </c>
      <c r="H22" s="97">
        <f t="shared" si="0"/>
        <v>63000</v>
      </c>
      <c r="K22">
        <f t="shared" si="1"/>
        <v>6</v>
      </c>
      <c r="N22">
        <v>6</v>
      </c>
    </row>
    <row r="23" spans="1:14" ht="15" customHeight="1" x14ac:dyDescent="0.2">
      <c r="A23" s="95" t="s">
        <v>133</v>
      </c>
      <c r="B23" s="68">
        <v>44731</v>
      </c>
      <c r="C23" s="4" t="s">
        <v>12</v>
      </c>
      <c r="D23" s="4" t="s">
        <v>38</v>
      </c>
      <c r="E23" s="4" t="s">
        <v>14</v>
      </c>
      <c r="F23" s="4" t="s">
        <v>19</v>
      </c>
      <c r="G23" s="48">
        <v>2450</v>
      </c>
      <c r="H23" s="97">
        <f t="shared" si="0"/>
        <v>58800</v>
      </c>
      <c r="K23">
        <f t="shared" si="1"/>
        <v>6</v>
      </c>
      <c r="N23">
        <v>6</v>
      </c>
    </row>
    <row r="24" spans="1:14" ht="15" customHeight="1" x14ac:dyDescent="0.2">
      <c r="A24" s="95" t="s">
        <v>199</v>
      </c>
      <c r="B24" s="68">
        <v>44732</v>
      </c>
      <c r="C24" s="2" t="s">
        <v>12</v>
      </c>
      <c r="D24" s="4" t="s">
        <v>38</v>
      </c>
      <c r="E24" s="4" t="s">
        <v>14</v>
      </c>
      <c r="F24" s="4" t="s">
        <v>35</v>
      </c>
      <c r="G24" s="48">
        <v>5600</v>
      </c>
      <c r="H24" s="97">
        <f t="shared" si="0"/>
        <v>56000</v>
      </c>
      <c r="K24">
        <f t="shared" si="1"/>
        <v>6</v>
      </c>
      <c r="N24">
        <v>6</v>
      </c>
    </row>
    <row r="25" spans="1:14" ht="15" customHeight="1" x14ac:dyDescent="0.2">
      <c r="A25" s="96" t="s">
        <v>165</v>
      </c>
      <c r="B25" s="68">
        <v>44780</v>
      </c>
      <c r="C25" s="4" t="s">
        <v>12</v>
      </c>
      <c r="D25" s="2" t="s">
        <v>38</v>
      </c>
      <c r="E25" s="2" t="s">
        <v>14</v>
      </c>
      <c r="F25" s="2" t="s">
        <v>44</v>
      </c>
      <c r="G25" s="50">
        <v>3100</v>
      </c>
      <c r="H25" s="97">
        <f t="shared" si="0"/>
        <v>40300</v>
      </c>
      <c r="K25">
        <f t="shared" si="1"/>
        <v>6</v>
      </c>
      <c r="N25">
        <v>6</v>
      </c>
    </row>
    <row r="26" spans="1:14" ht="15" customHeight="1" x14ac:dyDescent="0.2">
      <c r="A26" s="96" t="s">
        <v>205</v>
      </c>
      <c r="B26" s="68">
        <v>44791</v>
      </c>
      <c r="C26" s="2" t="s">
        <v>12</v>
      </c>
      <c r="D26" s="2" t="s">
        <v>38</v>
      </c>
      <c r="E26" s="4" t="s">
        <v>14</v>
      </c>
      <c r="F26" s="2" t="s">
        <v>31</v>
      </c>
      <c r="G26" s="50">
        <v>2950</v>
      </c>
      <c r="H26" s="97">
        <f t="shared" si="0"/>
        <v>32450</v>
      </c>
      <c r="K26">
        <f t="shared" si="1"/>
        <v>6</v>
      </c>
      <c r="N26">
        <v>6</v>
      </c>
    </row>
    <row r="27" spans="1:14" ht="15" customHeight="1" x14ac:dyDescent="0.2">
      <c r="A27" s="96" t="s">
        <v>105</v>
      </c>
      <c r="B27" s="68">
        <v>44800</v>
      </c>
      <c r="C27" s="2" t="s">
        <v>59</v>
      </c>
      <c r="D27" s="2" t="s">
        <v>50</v>
      </c>
      <c r="E27" s="2" t="s">
        <v>14</v>
      </c>
      <c r="F27" s="2" t="s">
        <v>73</v>
      </c>
      <c r="G27" s="50">
        <v>3800</v>
      </c>
      <c r="H27" s="97">
        <f t="shared" si="0"/>
        <v>30400</v>
      </c>
      <c r="K27">
        <f t="shared" si="1"/>
        <v>6</v>
      </c>
      <c r="N27">
        <v>6</v>
      </c>
    </row>
    <row r="28" spans="1:14" ht="15" customHeight="1" x14ac:dyDescent="0.2">
      <c r="A28" s="95" t="s">
        <v>16</v>
      </c>
      <c r="B28" s="67">
        <v>44807</v>
      </c>
      <c r="C28" s="2" t="s">
        <v>59</v>
      </c>
      <c r="D28" s="4" t="s">
        <v>50</v>
      </c>
      <c r="E28" s="2" t="s">
        <v>14</v>
      </c>
      <c r="F28" s="4" t="s">
        <v>19</v>
      </c>
      <c r="G28" s="48">
        <v>5250</v>
      </c>
      <c r="H28" s="97">
        <f t="shared" si="0"/>
        <v>126000</v>
      </c>
      <c r="K28">
        <f t="shared" si="1"/>
        <v>6</v>
      </c>
      <c r="N28">
        <v>6</v>
      </c>
    </row>
    <row r="29" spans="1:14" ht="15" customHeight="1" x14ac:dyDescent="0.2">
      <c r="A29" s="96" t="s">
        <v>86</v>
      </c>
      <c r="B29" s="67">
        <v>44808</v>
      </c>
      <c r="C29" s="4" t="s">
        <v>59</v>
      </c>
      <c r="D29" s="2" t="s">
        <v>50</v>
      </c>
      <c r="E29" s="4" t="s">
        <v>14</v>
      </c>
      <c r="F29" s="2" t="s">
        <v>87</v>
      </c>
      <c r="G29" s="50">
        <v>2350</v>
      </c>
      <c r="H29" s="97">
        <f t="shared" si="0"/>
        <v>39950</v>
      </c>
      <c r="K29">
        <f t="shared" si="1"/>
        <v>6</v>
      </c>
      <c r="N29">
        <v>6</v>
      </c>
    </row>
    <row r="30" spans="1:14" ht="15" customHeight="1" x14ac:dyDescent="0.2">
      <c r="A30" s="96" t="s">
        <v>64</v>
      </c>
      <c r="B30" s="67">
        <v>44814</v>
      </c>
      <c r="C30" s="2" t="s">
        <v>59</v>
      </c>
      <c r="D30" s="2" t="s">
        <v>50</v>
      </c>
      <c r="E30" s="4" t="s">
        <v>14</v>
      </c>
      <c r="F30" s="2" t="s">
        <v>66</v>
      </c>
      <c r="G30" s="50">
        <v>4900</v>
      </c>
      <c r="H30" s="97">
        <f t="shared" si="0"/>
        <v>200900</v>
      </c>
      <c r="K30">
        <f t="shared" si="1"/>
        <v>6</v>
      </c>
      <c r="N30">
        <v>6</v>
      </c>
    </row>
    <row r="31" spans="1:14" ht="15" customHeight="1" x14ac:dyDescent="0.2">
      <c r="A31" s="96" t="s">
        <v>32</v>
      </c>
      <c r="B31" s="67">
        <v>44830</v>
      </c>
      <c r="C31" s="4" t="s">
        <v>59</v>
      </c>
      <c r="D31" s="2" t="s">
        <v>50</v>
      </c>
      <c r="E31" s="4" t="s">
        <v>14</v>
      </c>
      <c r="F31" s="2" t="s">
        <v>35</v>
      </c>
      <c r="G31" s="50">
        <v>2250</v>
      </c>
      <c r="H31" s="97">
        <f t="shared" si="0"/>
        <v>22500</v>
      </c>
      <c r="K31">
        <f t="shared" si="1"/>
        <v>6</v>
      </c>
      <c r="N31">
        <v>6</v>
      </c>
    </row>
    <row r="32" spans="1:14" ht="15" customHeight="1" x14ac:dyDescent="0.2">
      <c r="A32" s="95" t="s">
        <v>96</v>
      </c>
      <c r="B32" s="68">
        <v>44841</v>
      </c>
      <c r="C32" s="4" t="s">
        <v>59</v>
      </c>
      <c r="D32" s="4" t="s">
        <v>50</v>
      </c>
      <c r="E32" s="2" t="s">
        <v>14</v>
      </c>
      <c r="F32" s="4" t="s">
        <v>73</v>
      </c>
      <c r="G32" s="48">
        <v>6550</v>
      </c>
      <c r="H32" s="97">
        <f t="shared" si="0"/>
        <v>52400</v>
      </c>
      <c r="K32">
        <f t="shared" si="1"/>
        <v>6</v>
      </c>
      <c r="N32">
        <v>6</v>
      </c>
    </row>
    <row r="33" spans="1:14" ht="15" customHeight="1" x14ac:dyDescent="0.2">
      <c r="A33" s="95" t="s">
        <v>76</v>
      </c>
      <c r="B33" s="68">
        <v>44858</v>
      </c>
      <c r="C33" s="4" t="s">
        <v>59</v>
      </c>
      <c r="D33" s="4" t="s">
        <v>50</v>
      </c>
      <c r="E33" s="2" t="s">
        <v>14</v>
      </c>
      <c r="F33" s="4" t="s">
        <v>77</v>
      </c>
      <c r="G33" s="48">
        <v>2100</v>
      </c>
      <c r="H33" s="97">
        <f t="shared" si="0"/>
        <v>46200</v>
      </c>
      <c r="K33">
        <f t="shared" si="1"/>
        <v>6</v>
      </c>
      <c r="N33">
        <v>6</v>
      </c>
    </row>
    <row r="34" spans="1:14" ht="15" customHeight="1" x14ac:dyDescent="0.2">
      <c r="A34" s="95" t="s">
        <v>49</v>
      </c>
      <c r="B34" s="68">
        <v>44860</v>
      </c>
      <c r="C34" s="4" t="s">
        <v>59</v>
      </c>
      <c r="D34" s="4" t="s">
        <v>50</v>
      </c>
      <c r="E34" s="4" t="s">
        <v>14</v>
      </c>
      <c r="F34" s="4" t="s">
        <v>51</v>
      </c>
      <c r="G34" s="48">
        <v>6750</v>
      </c>
      <c r="H34" s="97">
        <f t="shared" si="0"/>
        <v>94500</v>
      </c>
      <c r="K34">
        <f t="shared" si="1"/>
        <v>6</v>
      </c>
      <c r="N34">
        <v>6</v>
      </c>
    </row>
    <row r="35" spans="1:14" ht="15" customHeight="1" x14ac:dyDescent="0.2">
      <c r="A35" s="96" t="s">
        <v>158</v>
      </c>
      <c r="B35" s="68">
        <v>44900</v>
      </c>
      <c r="C35" s="4" t="s">
        <v>59</v>
      </c>
      <c r="D35" s="2" t="s">
        <v>50</v>
      </c>
      <c r="E35" s="4" t="s">
        <v>14</v>
      </c>
      <c r="F35" s="2" t="s">
        <v>15</v>
      </c>
      <c r="G35" s="50">
        <v>7400</v>
      </c>
      <c r="H35" s="97">
        <f t="shared" ref="H35:H66" si="2">F35*G35</f>
        <v>37000</v>
      </c>
      <c r="K35">
        <f t="shared" si="1"/>
        <v>6</v>
      </c>
      <c r="N35">
        <v>6</v>
      </c>
    </row>
    <row r="36" spans="1:14" ht="15" customHeight="1" x14ac:dyDescent="0.2">
      <c r="A36" s="95" t="s">
        <v>112</v>
      </c>
      <c r="B36" s="68">
        <v>44912</v>
      </c>
      <c r="C36" s="2" t="s">
        <v>59</v>
      </c>
      <c r="D36" s="4" t="s">
        <v>50</v>
      </c>
      <c r="E36" s="2" t="s">
        <v>14</v>
      </c>
      <c r="F36" s="4" t="s">
        <v>90</v>
      </c>
      <c r="G36" s="48">
        <v>7000</v>
      </c>
      <c r="H36" s="97">
        <f t="shared" si="2"/>
        <v>63000</v>
      </c>
      <c r="K36">
        <f t="shared" si="1"/>
        <v>6</v>
      </c>
      <c r="N36">
        <v>6</v>
      </c>
    </row>
    <row r="37" spans="1:14" ht="15" customHeight="1" x14ac:dyDescent="0.2">
      <c r="A37" s="96" t="s">
        <v>132</v>
      </c>
      <c r="B37" s="68">
        <v>44915</v>
      </c>
      <c r="C37" s="4" t="s">
        <v>59</v>
      </c>
      <c r="D37" s="2" t="s">
        <v>50</v>
      </c>
      <c r="E37" s="2" t="s">
        <v>14</v>
      </c>
      <c r="F37" s="2" t="s">
        <v>57</v>
      </c>
      <c r="G37" s="50">
        <v>4350</v>
      </c>
      <c r="H37" s="97">
        <f t="shared" si="2"/>
        <v>52200</v>
      </c>
      <c r="K37">
        <f t="shared" si="1"/>
        <v>6</v>
      </c>
      <c r="N37">
        <v>6</v>
      </c>
    </row>
    <row r="38" spans="1:14" ht="15" customHeight="1" x14ac:dyDescent="0.2">
      <c r="A38" s="95" t="s">
        <v>151</v>
      </c>
      <c r="B38" s="67">
        <v>44930</v>
      </c>
      <c r="C38" s="2" t="s">
        <v>59</v>
      </c>
      <c r="D38" s="4" t="s">
        <v>50</v>
      </c>
      <c r="E38" s="2" t="s">
        <v>14</v>
      </c>
      <c r="F38" s="4" t="s">
        <v>152</v>
      </c>
      <c r="G38" s="48">
        <v>6050</v>
      </c>
      <c r="H38" s="97">
        <f t="shared" si="2"/>
        <v>229900</v>
      </c>
      <c r="K38">
        <f t="shared" si="1"/>
        <v>6</v>
      </c>
      <c r="N38">
        <v>6</v>
      </c>
    </row>
    <row r="39" spans="1:14" ht="15" customHeight="1" x14ac:dyDescent="0.2">
      <c r="A39" s="95" t="s">
        <v>139</v>
      </c>
      <c r="B39" s="67">
        <v>44931</v>
      </c>
      <c r="C39" s="4" t="s">
        <v>59</v>
      </c>
      <c r="D39" s="4" t="s">
        <v>50</v>
      </c>
      <c r="E39" s="4" t="s">
        <v>14</v>
      </c>
      <c r="F39" s="4" t="s">
        <v>60</v>
      </c>
      <c r="G39" s="48">
        <v>5800</v>
      </c>
      <c r="H39" s="97">
        <f t="shared" si="2"/>
        <v>272600</v>
      </c>
      <c r="K39">
        <f t="shared" si="1"/>
        <v>6</v>
      </c>
      <c r="N39">
        <v>6</v>
      </c>
    </row>
    <row r="40" spans="1:14" ht="15" customHeight="1" x14ac:dyDescent="0.2">
      <c r="A40" s="96" t="s">
        <v>146</v>
      </c>
      <c r="B40" s="67">
        <v>44942</v>
      </c>
      <c r="C40" s="2" t="s">
        <v>59</v>
      </c>
      <c r="D40" s="2" t="s">
        <v>50</v>
      </c>
      <c r="E40" s="2" t="s">
        <v>14</v>
      </c>
      <c r="F40" s="2" t="s">
        <v>44</v>
      </c>
      <c r="G40" s="50">
        <v>4350</v>
      </c>
      <c r="H40" s="97">
        <f t="shared" si="2"/>
        <v>56550</v>
      </c>
      <c r="K40">
        <f t="shared" si="1"/>
        <v>6</v>
      </c>
      <c r="N40">
        <v>6</v>
      </c>
    </row>
    <row r="41" spans="1:14" ht="15" customHeight="1" x14ac:dyDescent="0.2">
      <c r="A41" s="96" t="s">
        <v>119</v>
      </c>
      <c r="B41" s="67">
        <v>44945</v>
      </c>
      <c r="C41" s="2" t="s">
        <v>59</v>
      </c>
      <c r="D41" s="2" t="s">
        <v>50</v>
      </c>
      <c r="E41" s="4" t="s">
        <v>14</v>
      </c>
      <c r="F41" s="2" t="s">
        <v>57</v>
      </c>
      <c r="G41" s="50">
        <v>7100</v>
      </c>
      <c r="H41" s="97">
        <f t="shared" si="2"/>
        <v>85200</v>
      </c>
      <c r="K41">
        <f t="shared" si="1"/>
        <v>6</v>
      </c>
      <c r="N41">
        <v>6</v>
      </c>
    </row>
    <row r="42" spans="1:14" ht="15" customHeight="1" x14ac:dyDescent="0.2">
      <c r="A42" s="95" t="s">
        <v>125</v>
      </c>
      <c r="B42" s="68">
        <v>44959</v>
      </c>
      <c r="C42" s="4" t="s">
        <v>59</v>
      </c>
      <c r="D42" s="4" t="s">
        <v>50</v>
      </c>
      <c r="E42" s="4" t="s">
        <v>14</v>
      </c>
      <c r="F42" s="4" t="s">
        <v>51</v>
      </c>
      <c r="G42" s="48">
        <v>4650</v>
      </c>
      <c r="H42" s="97">
        <f t="shared" si="2"/>
        <v>65100</v>
      </c>
      <c r="K42">
        <f t="shared" si="1"/>
        <v>6</v>
      </c>
      <c r="N42">
        <v>6</v>
      </c>
    </row>
    <row r="43" spans="1:14" ht="15" customHeight="1" x14ac:dyDescent="0.2">
      <c r="A43" s="96" t="s">
        <v>209</v>
      </c>
      <c r="B43" s="68">
        <v>44972</v>
      </c>
      <c r="C43" s="4" t="s">
        <v>59</v>
      </c>
      <c r="D43" s="2" t="s">
        <v>50</v>
      </c>
      <c r="E43" s="4" t="s">
        <v>14</v>
      </c>
      <c r="F43" s="2" t="s">
        <v>51</v>
      </c>
      <c r="G43" s="50">
        <v>8300</v>
      </c>
      <c r="H43" s="97">
        <f t="shared" si="2"/>
        <v>116200</v>
      </c>
      <c r="K43">
        <f t="shared" si="1"/>
        <v>6</v>
      </c>
      <c r="N43">
        <v>6</v>
      </c>
    </row>
    <row r="44" spans="1:14" ht="15" customHeight="1" x14ac:dyDescent="0.2">
      <c r="A44" s="95" t="s">
        <v>164</v>
      </c>
      <c r="B44" s="68">
        <v>44973</v>
      </c>
      <c r="C44" s="2" t="s">
        <v>59</v>
      </c>
      <c r="D44" s="4" t="s">
        <v>50</v>
      </c>
      <c r="E44" s="4" t="s">
        <v>14</v>
      </c>
      <c r="F44" s="4" t="s">
        <v>15</v>
      </c>
      <c r="G44" s="48">
        <v>5350</v>
      </c>
      <c r="H44" s="97">
        <f t="shared" si="2"/>
        <v>26750</v>
      </c>
      <c r="K44">
        <f t="shared" si="1"/>
        <v>6</v>
      </c>
      <c r="N44">
        <v>6</v>
      </c>
    </row>
    <row r="45" spans="1:14" ht="15" customHeight="1" x14ac:dyDescent="0.2">
      <c r="A45" s="96" t="s">
        <v>182</v>
      </c>
      <c r="B45" s="68">
        <v>44974</v>
      </c>
      <c r="C45" s="2" t="s">
        <v>59</v>
      </c>
      <c r="D45" s="2" t="s">
        <v>50</v>
      </c>
      <c r="E45" s="4" t="s">
        <v>14</v>
      </c>
      <c r="F45" s="2" t="s">
        <v>181</v>
      </c>
      <c r="G45" s="50">
        <v>8650</v>
      </c>
      <c r="H45" s="97">
        <f t="shared" si="2"/>
        <v>138400</v>
      </c>
      <c r="K45">
        <f t="shared" si="1"/>
        <v>6</v>
      </c>
      <c r="N45">
        <v>6</v>
      </c>
    </row>
    <row r="46" spans="1:14" ht="15" customHeight="1" x14ac:dyDescent="0.2">
      <c r="A46" s="95" t="s">
        <v>204</v>
      </c>
      <c r="B46" s="67">
        <v>44988</v>
      </c>
      <c r="C46" s="2" t="s">
        <v>59</v>
      </c>
      <c r="D46" s="4" t="s">
        <v>50</v>
      </c>
      <c r="E46" s="2" t="s">
        <v>14</v>
      </c>
      <c r="F46" s="4" t="s">
        <v>87</v>
      </c>
      <c r="G46" s="48">
        <v>8800</v>
      </c>
      <c r="H46" s="97">
        <f t="shared" si="2"/>
        <v>149600</v>
      </c>
      <c r="K46">
        <f t="shared" si="1"/>
        <v>6</v>
      </c>
      <c r="N46">
        <v>6</v>
      </c>
    </row>
    <row r="47" spans="1:14" ht="15" customHeight="1" x14ac:dyDescent="0.2">
      <c r="A47" s="95" t="s">
        <v>191</v>
      </c>
      <c r="B47" s="68">
        <v>45023</v>
      </c>
      <c r="C47" s="4" t="s">
        <v>59</v>
      </c>
      <c r="D47" s="4" t="s">
        <v>50</v>
      </c>
      <c r="E47" s="2" t="s">
        <v>14</v>
      </c>
      <c r="F47" s="4" t="s">
        <v>87</v>
      </c>
      <c r="G47" s="48">
        <v>8800</v>
      </c>
      <c r="H47" s="97">
        <f t="shared" si="2"/>
        <v>149600</v>
      </c>
      <c r="K47">
        <f t="shared" si="1"/>
        <v>6</v>
      </c>
      <c r="N47">
        <v>6</v>
      </c>
    </row>
    <row r="48" spans="1:14" ht="15" customHeight="1" x14ac:dyDescent="0.2">
      <c r="A48" s="95" t="s">
        <v>176</v>
      </c>
      <c r="B48" s="68">
        <v>45031</v>
      </c>
      <c r="C48" s="4" t="s">
        <v>59</v>
      </c>
      <c r="D48" s="4" t="s">
        <v>50</v>
      </c>
      <c r="E48" s="2" t="s">
        <v>14</v>
      </c>
      <c r="F48" s="4" t="s">
        <v>73</v>
      </c>
      <c r="G48" s="48">
        <v>7700</v>
      </c>
      <c r="H48" s="97">
        <f t="shared" si="2"/>
        <v>61600</v>
      </c>
      <c r="K48">
        <f t="shared" si="1"/>
        <v>6</v>
      </c>
      <c r="N48">
        <v>6</v>
      </c>
    </row>
    <row r="49" spans="1:14" ht="15" customHeight="1" x14ac:dyDescent="0.2">
      <c r="A49" s="96" t="s">
        <v>198</v>
      </c>
      <c r="B49" s="68">
        <v>45033</v>
      </c>
      <c r="C49" s="2" t="s">
        <v>59</v>
      </c>
      <c r="D49" s="2" t="s">
        <v>50</v>
      </c>
      <c r="E49" s="4" t="s">
        <v>14</v>
      </c>
      <c r="F49" s="2" t="s">
        <v>46</v>
      </c>
      <c r="G49" s="50">
        <v>2950</v>
      </c>
      <c r="H49" s="97">
        <f t="shared" si="2"/>
        <v>61950</v>
      </c>
      <c r="K49">
        <f t="shared" si="1"/>
        <v>6</v>
      </c>
      <c r="N49">
        <v>6</v>
      </c>
    </row>
    <row r="50" spans="1:14" ht="15" customHeight="1" x14ac:dyDescent="0.2">
      <c r="A50" s="96" t="s">
        <v>169</v>
      </c>
      <c r="B50" s="68">
        <v>45034</v>
      </c>
      <c r="C50" s="2" t="s">
        <v>59</v>
      </c>
      <c r="D50" s="2" t="s">
        <v>50</v>
      </c>
      <c r="E50" s="2" t="s">
        <v>14</v>
      </c>
      <c r="F50" s="2" t="s">
        <v>103</v>
      </c>
      <c r="G50" s="50">
        <v>2850</v>
      </c>
      <c r="H50" s="97">
        <f t="shared" si="2"/>
        <v>74100</v>
      </c>
      <c r="K50">
        <f t="shared" si="1"/>
        <v>6</v>
      </c>
      <c r="N50">
        <v>6</v>
      </c>
    </row>
    <row r="51" spans="1:14" ht="15" customHeight="1" x14ac:dyDescent="0.2">
      <c r="A51" s="95" t="s">
        <v>55</v>
      </c>
      <c r="B51" s="67">
        <v>45052</v>
      </c>
      <c r="C51" s="4" t="s">
        <v>37</v>
      </c>
      <c r="D51" s="4" t="s">
        <v>43</v>
      </c>
      <c r="E51" s="2" t="s">
        <v>18</v>
      </c>
      <c r="F51" s="4" t="s">
        <v>57</v>
      </c>
      <c r="G51" s="48">
        <v>6650</v>
      </c>
      <c r="H51" s="97">
        <f t="shared" si="2"/>
        <v>79800</v>
      </c>
      <c r="K51">
        <f t="shared" si="1"/>
        <v>6</v>
      </c>
      <c r="N51">
        <v>5</v>
      </c>
    </row>
    <row r="52" spans="1:14" ht="15" customHeight="1" x14ac:dyDescent="0.2">
      <c r="A52" s="96" t="s">
        <v>108</v>
      </c>
      <c r="B52" s="67">
        <v>45057</v>
      </c>
      <c r="C52" s="4" t="s">
        <v>37</v>
      </c>
      <c r="D52" s="2" t="s">
        <v>43</v>
      </c>
      <c r="E52" s="2" t="s">
        <v>18</v>
      </c>
      <c r="F52" s="2" t="s">
        <v>109</v>
      </c>
      <c r="G52" s="50">
        <v>6350</v>
      </c>
      <c r="H52" s="97">
        <f t="shared" si="2"/>
        <v>95250</v>
      </c>
      <c r="K52">
        <f t="shared" si="1"/>
        <v>6</v>
      </c>
      <c r="N52">
        <v>5</v>
      </c>
    </row>
    <row r="53" spans="1:14" ht="15" customHeight="1" x14ac:dyDescent="0.2">
      <c r="A53" s="95" t="s">
        <v>24</v>
      </c>
      <c r="B53" s="67">
        <v>45063</v>
      </c>
      <c r="C53" s="4" t="s">
        <v>37</v>
      </c>
      <c r="D53" s="4" t="s">
        <v>43</v>
      </c>
      <c r="E53" s="2" t="s">
        <v>18</v>
      </c>
      <c r="F53" s="4" t="s">
        <v>26</v>
      </c>
      <c r="G53" s="48">
        <v>6100</v>
      </c>
      <c r="H53" s="97">
        <f t="shared" si="2"/>
        <v>42700</v>
      </c>
      <c r="K53">
        <f t="shared" si="1"/>
        <v>6</v>
      </c>
      <c r="N53">
        <v>5</v>
      </c>
    </row>
    <row r="54" spans="1:14" ht="15" customHeight="1" x14ac:dyDescent="0.2">
      <c r="A54" s="96" t="s">
        <v>89</v>
      </c>
      <c r="B54" s="67">
        <v>45068</v>
      </c>
      <c r="C54" s="4" t="s">
        <v>37</v>
      </c>
      <c r="D54" s="2" t="s">
        <v>43</v>
      </c>
      <c r="E54" s="4" t="s">
        <v>18</v>
      </c>
      <c r="F54" s="2" t="s">
        <v>90</v>
      </c>
      <c r="G54" s="50">
        <v>6450</v>
      </c>
      <c r="H54" s="97">
        <f t="shared" si="2"/>
        <v>58050</v>
      </c>
      <c r="K54">
        <f t="shared" si="1"/>
        <v>6</v>
      </c>
      <c r="N54">
        <v>5</v>
      </c>
    </row>
    <row r="55" spans="1:14" ht="15" customHeight="1" x14ac:dyDescent="0.2">
      <c r="A55" s="96" t="s">
        <v>41</v>
      </c>
      <c r="B55" s="68">
        <v>45080</v>
      </c>
      <c r="C55" s="4" t="s">
        <v>37</v>
      </c>
      <c r="D55" s="2" t="s">
        <v>43</v>
      </c>
      <c r="E55" s="2" t="s">
        <v>18</v>
      </c>
      <c r="F55" s="2" t="s">
        <v>44</v>
      </c>
      <c r="G55" s="50">
        <v>2000</v>
      </c>
      <c r="H55" s="97">
        <f t="shared" si="2"/>
        <v>26000</v>
      </c>
      <c r="K55">
        <f t="shared" si="1"/>
        <v>6</v>
      </c>
      <c r="N55">
        <v>5</v>
      </c>
    </row>
    <row r="56" spans="1:14" ht="15" customHeight="1" x14ac:dyDescent="0.2">
      <c r="A56" s="95" t="s">
        <v>100</v>
      </c>
      <c r="B56" s="68">
        <v>45080</v>
      </c>
      <c r="C56" s="4" t="s">
        <v>37</v>
      </c>
      <c r="D56" s="4" t="s">
        <v>43</v>
      </c>
      <c r="E56" s="4" t="s">
        <v>18</v>
      </c>
      <c r="F56" s="4" t="s">
        <v>101</v>
      </c>
      <c r="G56" s="48">
        <v>250</v>
      </c>
      <c r="H56" s="97">
        <f t="shared" si="2"/>
        <v>22500</v>
      </c>
      <c r="K56">
        <f t="shared" si="1"/>
        <v>6</v>
      </c>
      <c r="N56">
        <v>5</v>
      </c>
    </row>
    <row r="57" spans="1:14" ht="15" customHeight="1" x14ac:dyDescent="0.2">
      <c r="A57" s="95" t="s">
        <v>79</v>
      </c>
      <c r="B57" s="68">
        <v>45092</v>
      </c>
      <c r="C57" s="4" t="s">
        <v>37</v>
      </c>
      <c r="D57" s="4" t="s">
        <v>43</v>
      </c>
      <c r="E57" s="2" t="s">
        <v>18</v>
      </c>
      <c r="F57" s="4" t="s">
        <v>80</v>
      </c>
      <c r="G57" s="48">
        <v>250</v>
      </c>
      <c r="H57" s="97">
        <f t="shared" si="2"/>
        <v>41750</v>
      </c>
      <c r="K57">
        <f t="shared" si="1"/>
        <v>6</v>
      </c>
      <c r="N57">
        <v>5</v>
      </c>
    </row>
    <row r="58" spans="1:14" ht="15" customHeight="1" x14ac:dyDescent="0.2">
      <c r="A58" s="95" t="s">
        <v>128</v>
      </c>
      <c r="B58" s="68">
        <v>45139</v>
      </c>
      <c r="C58" s="2" t="s">
        <v>37</v>
      </c>
      <c r="D58" s="4" t="s">
        <v>43</v>
      </c>
      <c r="E58" s="2" t="s">
        <v>18</v>
      </c>
      <c r="F58" s="4" t="s">
        <v>129</v>
      </c>
      <c r="G58" s="48">
        <v>300</v>
      </c>
      <c r="H58" s="97">
        <f t="shared" si="2"/>
        <v>42000</v>
      </c>
      <c r="K58">
        <f t="shared" si="1"/>
        <v>6</v>
      </c>
      <c r="N58">
        <v>5</v>
      </c>
    </row>
    <row r="59" spans="1:14" ht="15" customHeight="1" x14ac:dyDescent="0.2">
      <c r="A59" s="95" t="s">
        <v>114</v>
      </c>
      <c r="B59" s="68">
        <v>45158</v>
      </c>
      <c r="C59" s="4" t="s">
        <v>37</v>
      </c>
      <c r="D59" s="4" t="s">
        <v>43</v>
      </c>
      <c r="E59" s="2" t="s">
        <v>18</v>
      </c>
      <c r="F59" s="4" t="s">
        <v>31</v>
      </c>
      <c r="G59" s="48">
        <v>4950</v>
      </c>
      <c r="H59" s="97">
        <f t="shared" si="2"/>
        <v>54450</v>
      </c>
      <c r="K59">
        <f t="shared" si="1"/>
        <v>6</v>
      </c>
      <c r="N59">
        <v>5</v>
      </c>
    </row>
    <row r="60" spans="1:14" ht="15" customHeight="1" x14ac:dyDescent="0.2">
      <c r="A60" s="96" t="s">
        <v>148</v>
      </c>
      <c r="B60" s="68">
        <v>45163</v>
      </c>
      <c r="C60" s="2" t="s">
        <v>37</v>
      </c>
      <c r="D60" s="2" t="s">
        <v>43</v>
      </c>
      <c r="E60" s="2" t="s">
        <v>18</v>
      </c>
      <c r="F60" s="2">
        <v>20</v>
      </c>
      <c r="G60" s="50">
        <v>4350</v>
      </c>
      <c r="H60" s="97">
        <f t="shared" si="2"/>
        <v>87000</v>
      </c>
      <c r="K60">
        <f t="shared" si="1"/>
        <v>6</v>
      </c>
      <c r="N60">
        <v>5</v>
      </c>
    </row>
    <row r="61" spans="1:14" ht="15" customHeight="1" x14ac:dyDescent="0.2">
      <c r="A61" s="96" t="s">
        <v>121</v>
      </c>
      <c r="B61" s="67">
        <v>45171</v>
      </c>
      <c r="C61" s="4" t="s">
        <v>37</v>
      </c>
      <c r="D61" s="2" t="s">
        <v>43</v>
      </c>
      <c r="E61" s="4" t="s">
        <v>18</v>
      </c>
      <c r="F61" s="2" t="s">
        <v>23</v>
      </c>
      <c r="G61" s="50">
        <v>7100</v>
      </c>
      <c r="H61" s="97">
        <f t="shared" si="2"/>
        <v>42600</v>
      </c>
      <c r="K61">
        <f t="shared" si="1"/>
        <v>6</v>
      </c>
      <c r="N61">
        <v>5</v>
      </c>
    </row>
    <row r="62" spans="1:14" ht="15" customHeight="1" x14ac:dyDescent="0.2">
      <c r="A62" s="95" t="s">
        <v>155</v>
      </c>
      <c r="B62" s="67">
        <v>45185</v>
      </c>
      <c r="C62" s="4" t="s">
        <v>37</v>
      </c>
      <c r="D62" s="4" t="s">
        <v>43</v>
      </c>
      <c r="E62" s="2" t="s">
        <v>18</v>
      </c>
      <c r="F62" s="4" t="s">
        <v>35</v>
      </c>
      <c r="G62" s="48">
        <v>4950</v>
      </c>
      <c r="H62" s="97">
        <f t="shared" si="2"/>
        <v>49500</v>
      </c>
      <c r="K62">
        <f t="shared" si="1"/>
        <v>6</v>
      </c>
      <c r="N62">
        <v>5</v>
      </c>
    </row>
    <row r="63" spans="1:14" ht="15" customHeight="1" x14ac:dyDescent="0.2">
      <c r="A63" s="95" t="s">
        <v>142</v>
      </c>
      <c r="B63" s="67">
        <v>45188</v>
      </c>
      <c r="C63" s="2" t="s">
        <v>37</v>
      </c>
      <c r="D63" s="4" t="s">
        <v>43</v>
      </c>
      <c r="E63" s="4" t="s">
        <v>18</v>
      </c>
      <c r="F63" s="4" t="s">
        <v>19</v>
      </c>
      <c r="G63" s="48">
        <v>2450</v>
      </c>
      <c r="H63" s="97">
        <f t="shared" si="2"/>
        <v>58800</v>
      </c>
      <c r="K63">
        <f t="shared" si="1"/>
        <v>6</v>
      </c>
      <c r="N63">
        <v>5</v>
      </c>
    </row>
    <row r="64" spans="1:14" ht="15" customHeight="1" x14ac:dyDescent="0.2">
      <c r="A64" s="95" t="s">
        <v>178</v>
      </c>
      <c r="B64" s="68">
        <v>45201</v>
      </c>
      <c r="C64" s="2" t="s">
        <v>37</v>
      </c>
      <c r="D64" s="4" t="s">
        <v>43</v>
      </c>
      <c r="E64" s="4" t="s">
        <v>18</v>
      </c>
      <c r="F64" s="4" t="s">
        <v>44</v>
      </c>
      <c r="G64" s="48">
        <v>5000</v>
      </c>
      <c r="H64" s="97">
        <f t="shared" si="2"/>
        <v>65000</v>
      </c>
      <c r="K64">
        <f t="shared" si="1"/>
        <v>6</v>
      </c>
      <c r="N64">
        <v>5</v>
      </c>
    </row>
    <row r="65" spans="1:14" ht="15" customHeight="1" x14ac:dyDescent="0.2">
      <c r="A65" s="96" t="s">
        <v>200</v>
      </c>
      <c r="B65" s="68">
        <v>45206</v>
      </c>
      <c r="C65" s="2" t="s">
        <v>37</v>
      </c>
      <c r="D65" s="2" t="s">
        <v>43</v>
      </c>
      <c r="E65" s="2" t="s">
        <v>18</v>
      </c>
      <c r="F65" s="2" t="s">
        <v>109</v>
      </c>
      <c r="G65" s="50">
        <v>2850</v>
      </c>
      <c r="H65" s="97">
        <f t="shared" si="2"/>
        <v>42750</v>
      </c>
      <c r="K65">
        <f t="shared" si="1"/>
        <v>6</v>
      </c>
      <c r="N65">
        <v>5</v>
      </c>
    </row>
    <row r="66" spans="1:14" ht="15" customHeight="1" x14ac:dyDescent="0.2">
      <c r="A66" s="95" t="s">
        <v>206</v>
      </c>
      <c r="B66" s="68">
        <v>45208</v>
      </c>
      <c r="C66" s="2" t="s">
        <v>37</v>
      </c>
      <c r="D66" s="4" t="s">
        <v>43</v>
      </c>
      <c r="E66" s="2" t="s">
        <v>18</v>
      </c>
      <c r="F66" s="4" t="s">
        <v>44</v>
      </c>
      <c r="G66" s="48">
        <v>5350</v>
      </c>
      <c r="H66" s="97">
        <f t="shared" si="2"/>
        <v>69550</v>
      </c>
      <c r="K66">
        <f t="shared" si="1"/>
        <v>6</v>
      </c>
      <c r="N66">
        <v>5</v>
      </c>
    </row>
    <row r="67" spans="1:14" ht="15" customHeight="1" x14ac:dyDescent="0.2">
      <c r="A67" s="96" t="s">
        <v>212</v>
      </c>
      <c r="B67" s="67">
        <v>45233</v>
      </c>
      <c r="C67" s="2" t="s">
        <v>37</v>
      </c>
      <c r="D67" s="2" t="s">
        <v>43</v>
      </c>
      <c r="E67" s="2" t="s">
        <v>18</v>
      </c>
      <c r="F67" s="2" t="s">
        <v>26</v>
      </c>
      <c r="G67" s="50">
        <v>5000</v>
      </c>
      <c r="H67" s="97">
        <f t="shared" ref="H67:H98" si="3">F67*G67</f>
        <v>35000</v>
      </c>
      <c r="K67">
        <f t="shared" si="1"/>
        <v>6</v>
      </c>
      <c r="N67">
        <v>5</v>
      </c>
    </row>
    <row r="68" spans="1:14" ht="15" customHeight="1" x14ac:dyDescent="0.2">
      <c r="A68" s="96" t="s">
        <v>185</v>
      </c>
      <c r="B68" s="67">
        <v>45237</v>
      </c>
      <c r="C68" s="2" t="s">
        <v>37</v>
      </c>
      <c r="D68" s="2" t="s">
        <v>43</v>
      </c>
      <c r="E68" s="4" t="s">
        <v>18</v>
      </c>
      <c r="F68" s="2" t="s">
        <v>186</v>
      </c>
      <c r="G68" s="50">
        <v>7000</v>
      </c>
      <c r="H68" s="97">
        <f t="shared" si="3"/>
        <v>315000</v>
      </c>
      <c r="K68">
        <f t="shared" ref="K68:K122" si="4">LEN(D68)</f>
        <v>6</v>
      </c>
      <c r="N68">
        <v>5</v>
      </c>
    </row>
    <row r="69" spans="1:14" ht="15" customHeight="1" x14ac:dyDescent="0.2">
      <c r="A69" s="96" t="s">
        <v>68</v>
      </c>
      <c r="B69" s="68">
        <v>45283</v>
      </c>
      <c r="C69" s="4" t="s">
        <v>37</v>
      </c>
      <c r="D69" s="2" t="s">
        <v>43</v>
      </c>
      <c r="E69" s="4" t="s">
        <v>18</v>
      </c>
      <c r="F69" s="2" t="s">
        <v>70</v>
      </c>
      <c r="G69" s="50">
        <v>5000</v>
      </c>
      <c r="H69" s="97">
        <f t="shared" si="3"/>
        <v>170000</v>
      </c>
      <c r="K69">
        <f t="shared" si="4"/>
        <v>6</v>
      </c>
      <c r="N69">
        <v>5</v>
      </c>
    </row>
    <row r="70" spans="1:14" ht="15" customHeight="1" x14ac:dyDescent="0.2">
      <c r="A70" s="96" t="s">
        <v>134</v>
      </c>
      <c r="B70" s="68">
        <v>45285</v>
      </c>
      <c r="C70" s="2" t="s">
        <v>37</v>
      </c>
      <c r="D70" s="2" t="s">
        <v>43</v>
      </c>
      <c r="E70" s="4" t="s">
        <v>18</v>
      </c>
      <c r="F70" s="2" t="s">
        <v>135</v>
      </c>
      <c r="G70" s="50">
        <v>300</v>
      </c>
      <c r="H70" s="97">
        <f t="shared" si="3"/>
        <v>57000</v>
      </c>
      <c r="K70">
        <f t="shared" si="4"/>
        <v>6</v>
      </c>
      <c r="N70">
        <v>5</v>
      </c>
    </row>
    <row r="71" spans="1:14" ht="15" customHeight="1" x14ac:dyDescent="0.2">
      <c r="A71" s="96" t="s">
        <v>160</v>
      </c>
      <c r="B71" s="68">
        <v>45286</v>
      </c>
      <c r="C71" s="2" t="s">
        <v>37</v>
      </c>
      <c r="D71" s="2" t="s">
        <v>43</v>
      </c>
      <c r="E71" s="2" t="s">
        <v>29</v>
      </c>
      <c r="F71" s="2" t="s">
        <v>51</v>
      </c>
      <c r="G71" s="50">
        <v>2750</v>
      </c>
      <c r="H71" s="97">
        <f t="shared" si="3"/>
        <v>38500</v>
      </c>
      <c r="K71">
        <f t="shared" si="4"/>
        <v>6</v>
      </c>
      <c r="N71">
        <v>7</v>
      </c>
    </row>
    <row r="72" spans="1:14" ht="15" customHeight="1" x14ac:dyDescent="0.2">
      <c r="A72" s="95" t="s">
        <v>166</v>
      </c>
      <c r="B72" s="67">
        <v>45298</v>
      </c>
      <c r="C72" s="4" t="s">
        <v>37</v>
      </c>
      <c r="D72" s="4" t="s">
        <v>43</v>
      </c>
      <c r="E72" s="4" t="s">
        <v>29</v>
      </c>
      <c r="F72" s="4" t="s">
        <v>44</v>
      </c>
      <c r="G72" s="48">
        <v>2950</v>
      </c>
      <c r="H72" s="97">
        <f t="shared" si="3"/>
        <v>38350</v>
      </c>
      <c r="K72">
        <f t="shared" si="4"/>
        <v>6</v>
      </c>
      <c r="N72">
        <v>7</v>
      </c>
    </row>
    <row r="73" spans="1:14" ht="15" customHeight="1" x14ac:dyDescent="0.2">
      <c r="A73" s="96" t="s">
        <v>171</v>
      </c>
      <c r="B73" s="67">
        <v>45303</v>
      </c>
      <c r="C73" s="2" t="s">
        <v>37</v>
      </c>
      <c r="D73" s="2" t="s">
        <v>43</v>
      </c>
      <c r="E73" s="2" t="s">
        <v>29</v>
      </c>
      <c r="F73" s="2" t="s">
        <v>31</v>
      </c>
      <c r="G73" s="50">
        <v>2600</v>
      </c>
      <c r="H73" s="97">
        <f t="shared" si="3"/>
        <v>28600</v>
      </c>
      <c r="K73">
        <f t="shared" si="4"/>
        <v>6</v>
      </c>
      <c r="N73">
        <v>7</v>
      </c>
    </row>
    <row r="74" spans="1:14" ht="15" customHeight="1" x14ac:dyDescent="0.2">
      <c r="A74" s="95" t="s">
        <v>193</v>
      </c>
      <c r="B74" s="67">
        <v>45313</v>
      </c>
      <c r="C74" s="2" t="s">
        <v>37</v>
      </c>
      <c r="D74" s="4" t="s">
        <v>43</v>
      </c>
      <c r="E74" s="2" t="s">
        <v>29</v>
      </c>
      <c r="F74" s="4" t="s">
        <v>48</v>
      </c>
      <c r="G74" s="48">
        <v>2950</v>
      </c>
      <c r="H74" s="97">
        <f t="shared" si="3"/>
        <v>56050</v>
      </c>
      <c r="K74">
        <f t="shared" si="4"/>
        <v>6</v>
      </c>
      <c r="N74">
        <v>7</v>
      </c>
    </row>
    <row r="75" spans="1:14" ht="15" customHeight="1" x14ac:dyDescent="0.2">
      <c r="A75" s="96" t="s">
        <v>81</v>
      </c>
      <c r="B75" s="67">
        <v>45317</v>
      </c>
      <c r="C75" s="4" t="s">
        <v>42</v>
      </c>
      <c r="D75" s="2" t="s">
        <v>28</v>
      </c>
      <c r="E75" s="4" t="s">
        <v>29</v>
      </c>
      <c r="F75" s="2" t="s">
        <v>82</v>
      </c>
      <c r="G75" s="50">
        <v>5200</v>
      </c>
      <c r="H75" s="97">
        <f t="shared" si="3"/>
        <v>223600</v>
      </c>
      <c r="K75">
        <f t="shared" si="4"/>
        <v>6</v>
      </c>
      <c r="N75">
        <v>7</v>
      </c>
    </row>
    <row r="76" spans="1:14" ht="15" customHeight="1" x14ac:dyDescent="0.2">
      <c r="A76" s="96" t="s">
        <v>27</v>
      </c>
      <c r="B76" s="68">
        <v>45325</v>
      </c>
      <c r="C76" s="2" t="s">
        <v>42</v>
      </c>
      <c r="D76" s="2" t="s">
        <v>28</v>
      </c>
      <c r="E76" s="4" t="s">
        <v>29</v>
      </c>
      <c r="F76" s="2" t="s">
        <v>15</v>
      </c>
      <c r="G76" s="50">
        <v>4000</v>
      </c>
      <c r="H76" s="97">
        <f t="shared" si="3"/>
        <v>20000</v>
      </c>
      <c r="K76">
        <f t="shared" si="4"/>
        <v>6</v>
      </c>
      <c r="N76">
        <v>7</v>
      </c>
    </row>
    <row r="77" spans="1:14" ht="15" customHeight="1" x14ac:dyDescent="0.2">
      <c r="A77" s="95" t="s">
        <v>91</v>
      </c>
      <c r="B77" s="68">
        <v>45327</v>
      </c>
      <c r="C77" s="4" t="s">
        <v>42</v>
      </c>
      <c r="D77" s="4" t="s">
        <v>28</v>
      </c>
      <c r="E77" s="2" t="s">
        <v>29</v>
      </c>
      <c r="F77" s="4" t="s">
        <v>92</v>
      </c>
      <c r="G77" s="48">
        <v>250</v>
      </c>
      <c r="H77" s="97">
        <f t="shared" si="3"/>
        <v>16500</v>
      </c>
      <c r="K77">
        <f t="shared" si="4"/>
        <v>6</v>
      </c>
      <c r="N77">
        <v>7</v>
      </c>
    </row>
    <row r="78" spans="1:14" ht="15" customHeight="1" x14ac:dyDescent="0.2">
      <c r="A78" s="95" t="s">
        <v>71</v>
      </c>
      <c r="B78" s="68">
        <v>45332</v>
      </c>
      <c r="C78" s="2" t="s">
        <v>42</v>
      </c>
      <c r="D78" s="4" t="s">
        <v>28</v>
      </c>
      <c r="E78" s="2" t="s">
        <v>29</v>
      </c>
      <c r="F78" s="4" t="s">
        <v>73</v>
      </c>
      <c r="G78" s="48">
        <v>4100</v>
      </c>
      <c r="H78" s="97">
        <f t="shared" si="3"/>
        <v>32800</v>
      </c>
      <c r="K78">
        <f t="shared" si="4"/>
        <v>6</v>
      </c>
      <c r="N78">
        <v>7</v>
      </c>
    </row>
    <row r="79" spans="1:14" ht="15" customHeight="1" x14ac:dyDescent="0.2">
      <c r="A79" s="96" t="s">
        <v>58</v>
      </c>
      <c r="B79" s="68">
        <v>45340</v>
      </c>
      <c r="C79" s="2" t="s">
        <v>42</v>
      </c>
      <c r="D79" s="2" t="s">
        <v>28</v>
      </c>
      <c r="E79" s="2" t="s">
        <v>29</v>
      </c>
      <c r="F79" s="2" t="s">
        <v>60</v>
      </c>
      <c r="G79" s="50">
        <v>4750</v>
      </c>
      <c r="H79" s="97">
        <f t="shared" si="3"/>
        <v>223250</v>
      </c>
      <c r="K79">
        <f t="shared" si="4"/>
        <v>6</v>
      </c>
      <c r="N79">
        <v>7</v>
      </c>
    </row>
    <row r="80" spans="1:14" ht="15" customHeight="1" x14ac:dyDescent="0.2">
      <c r="A80" s="95" t="s">
        <v>45</v>
      </c>
      <c r="B80" s="68">
        <v>45386</v>
      </c>
      <c r="C80" s="4" t="s">
        <v>42</v>
      </c>
      <c r="D80" s="4" t="s">
        <v>28</v>
      </c>
      <c r="E80" s="4" t="s">
        <v>29</v>
      </c>
      <c r="F80" s="4" t="s">
        <v>46</v>
      </c>
      <c r="G80" s="48">
        <v>2200</v>
      </c>
      <c r="H80" s="97">
        <f t="shared" si="3"/>
        <v>46200</v>
      </c>
      <c r="K80">
        <f t="shared" si="4"/>
        <v>6</v>
      </c>
      <c r="N80">
        <v>7</v>
      </c>
    </row>
    <row r="81" spans="1:14" ht="15" customHeight="1" x14ac:dyDescent="0.2">
      <c r="A81" s="96" t="s">
        <v>143</v>
      </c>
      <c r="B81" s="68">
        <v>45390</v>
      </c>
      <c r="C81" s="4" t="s">
        <v>42</v>
      </c>
      <c r="D81" s="2" t="s">
        <v>28</v>
      </c>
      <c r="E81" s="4" t="s">
        <v>29</v>
      </c>
      <c r="F81" s="2" t="s">
        <v>109</v>
      </c>
      <c r="G81" s="50">
        <v>4850</v>
      </c>
      <c r="H81" s="97">
        <f t="shared" si="3"/>
        <v>72750</v>
      </c>
      <c r="K81">
        <f t="shared" si="4"/>
        <v>6</v>
      </c>
      <c r="N81">
        <v>7</v>
      </c>
    </row>
    <row r="82" spans="1:14" ht="15" customHeight="1" x14ac:dyDescent="0.2">
      <c r="A82" s="95" t="s">
        <v>161</v>
      </c>
      <c r="B82" s="68">
        <v>45392</v>
      </c>
      <c r="C82" s="2" t="s">
        <v>42</v>
      </c>
      <c r="D82" s="4" t="s">
        <v>28</v>
      </c>
      <c r="E82" s="2" t="s">
        <v>29</v>
      </c>
      <c r="F82" s="4" t="s">
        <v>162</v>
      </c>
      <c r="G82" s="48">
        <v>5700</v>
      </c>
      <c r="H82" s="97">
        <f t="shared" si="3"/>
        <v>176700</v>
      </c>
      <c r="K82">
        <f t="shared" si="4"/>
        <v>6</v>
      </c>
      <c r="N82">
        <v>7</v>
      </c>
    </row>
    <row r="83" spans="1:14" ht="15" customHeight="1" x14ac:dyDescent="0.2">
      <c r="A83" s="96" t="s">
        <v>115</v>
      </c>
      <c r="B83" s="68">
        <v>45406</v>
      </c>
      <c r="C83" s="4" t="s">
        <v>42</v>
      </c>
      <c r="D83" s="2" t="s">
        <v>28</v>
      </c>
      <c r="E83" s="4" t="s">
        <v>29</v>
      </c>
      <c r="F83" s="2" t="s">
        <v>116</v>
      </c>
      <c r="G83" s="50">
        <v>5700</v>
      </c>
      <c r="H83" s="97">
        <f t="shared" si="3"/>
        <v>239400</v>
      </c>
      <c r="K83">
        <f t="shared" si="4"/>
        <v>6</v>
      </c>
      <c r="N83">
        <v>7</v>
      </c>
    </row>
    <row r="84" spans="1:14" ht="15" customHeight="1" x14ac:dyDescent="0.2">
      <c r="A84" s="95" t="s">
        <v>149</v>
      </c>
      <c r="B84" s="67">
        <v>45415</v>
      </c>
      <c r="C84" s="2" t="s">
        <v>42</v>
      </c>
      <c r="D84" s="4" t="s">
        <v>28</v>
      </c>
      <c r="E84" s="2" t="s">
        <v>29</v>
      </c>
      <c r="F84" s="4" t="s">
        <v>35</v>
      </c>
      <c r="G84" s="48">
        <v>6900</v>
      </c>
      <c r="H84" s="97">
        <f t="shared" si="3"/>
        <v>69000</v>
      </c>
      <c r="K84">
        <f t="shared" si="4"/>
        <v>6</v>
      </c>
      <c r="N84">
        <v>7</v>
      </c>
    </row>
    <row r="85" spans="1:14" ht="15" customHeight="1" x14ac:dyDescent="0.2">
      <c r="A85" s="95" t="s">
        <v>136</v>
      </c>
      <c r="B85" s="67">
        <v>45421</v>
      </c>
      <c r="C85" s="4" t="s">
        <v>42</v>
      </c>
      <c r="D85" s="4" t="s">
        <v>28</v>
      </c>
      <c r="E85" s="4" t="s">
        <v>29</v>
      </c>
      <c r="F85" s="4" t="s">
        <v>15</v>
      </c>
      <c r="G85" s="48">
        <v>4950</v>
      </c>
      <c r="H85" s="97">
        <f t="shared" si="3"/>
        <v>24750</v>
      </c>
      <c r="K85">
        <f t="shared" si="4"/>
        <v>6</v>
      </c>
      <c r="N85">
        <v>7</v>
      </c>
    </row>
    <row r="86" spans="1:14" ht="15" customHeight="1" x14ac:dyDescent="0.2">
      <c r="A86" s="96" t="s">
        <v>194</v>
      </c>
      <c r="B86" s="67">
        <v>45432</v>
      </c>
      <c r="C86" s="2" t="s">
        <v>42</v>
      </c>
      <c r="D86" s="2" t="s">
        <v>28</v>
      </c>
      <c r="E86" s="2" t="s">
        <v>29</v>
      </c>
      <c r="F86" s="2" t="s">
        <v>195</v>
      </c>
      <c r="G86" s="50">
        <v>6200</v>
      </c>
      <c r="H86" s="97">
        <f t="shared" si="3"/>
        <v>167400</v>
      </c>
      <c r="K86">
        <f t="shared" si="4"/>
        <v>6</v>
      </c>
      <c r="N86">
        <v>7</v>
      </c>
    </row>
    <row r="87" spans="1:14" ht="15" customHeight="1" x14ac:dyDescent="0.2">
      <c r="A87" s="95" t="s">
        <v>213</v>
      </c>
      <c r="B87" s="67">
        <v>45440</v>
      </c>
      <c r="C87" s="4" t="s">
        <v>42</v>
      </c>
      <c r="D87" s="4" t="s">
        <v>28</v>
      </c>
      <c r="E87" s="4" t="s">
        <v>29</v>
      </c>
      <c r="F87" s="4" t="s">
        <v>214</v>
      </c>
      <c r="G87" s="48">
        <v>350</v>
      </c>
      <c r="H87" s="97">
        <f t="shared" si="3"/>
        <v>32900</v>
      </c>
      <c r="K87">
        <f t="shared" si="4"/>
        <v>6</v>
      </c>
      <c r="N87">
        <v>7</v>
      </c>
    </row>
    <row r="88" spans="1:14" ht="15" customHeight="1" x14ac:dyDescent="0.2">
      <c r="A88" s="96" t="s">
        <v>167</v>
      </c>
      <c r="B88" s="68">
        <v>45451</v>
      </c>
      <c r="C88" s="2" t="s">
        <v>42</v>
      </c>
      <c r="D88" s="2" t="s">
        <v>28</v>
      </c>
      <c r="E88" s="2" t="s">
        <v>29</v>
      </c>
      <c r="F88" s="2" t="s">
        <v>26</v>
      </c>
      <c r="G88" s="50">
        <v>5000</v>
      </c>
      <c r="H88" s="97">
        <f t="shared" si="3"/>
        <v>35000</v>
      </c>
      <c r="K88">
        <f t="shared" si="4"/>
        <v>6</v>
      </c>
      <c r="N88">
        <v>7</v>
      </c>
    </row>
    <row r="89" spans="1:14" ht="15" customHeight="1" x14ac:dyDescent="0.2">
      <c r="A89" s="95" t="s">
        <v>201</v>
      </c>
      <c r="B89" s="68">
        <v>45455</v>
      </c>
      <c r="C89" s="2" t="s">
        <v>42</v>
      </c>
      <c r="D89" s="4" t="s">
        <v>28</v>
      </c>
      <c r="E89" s="2" t="s">
        <v>29</v>
      </c>
      <c r="F89" s="4" t="s">
        <v>73</v>
      </c>
      <c r="G89" s="48">
        <v>8450</v>
      </c>
      <c r="H89" s="97">
        <f t="shared" si="3"/>
        <v>67600</v>
      </c>
      <c r="K89">
        <f t="shared" si="4"/>
        <v>6</v>
      </c>
      <c r="N89">
        <v>7</v>
      </c>
    </row>
    <row r="90" spans="1:14" ht="15" customHeight="1" x14ac:dyDescent="0.2">
      <c r="A90" s="95" t="s">
        <v>187</v>
      </c>
      <c r="B90" s="68">
        <v>45465</v>
      </c>
      <c r="C90" s="4" t="s">
        <v>42</v>
      </c>
      <c r="D90" s="4" t="s">
        <v>28</v>
      </c>
      <c r="E90" s="4" t="s">
        <v>29</v>
      </c>
      <c r="F90" s="4" t="s">
        <v>35</v>
      </c>
      <c r="G90" s="48">
        <v>8650</v>
      </c>
      <c r="H90" s="97">
        <f t="shared" si="3"/>
        <v>86500</v>
      </c>
      <c r="K90">
        <f t="shared" si="4"/>
        <v>6</v>
      </c>
      <c r="N90">
        <v>7</v>
      </c>
    </row>
    <row r="91" spans="1:14" ht="15" customHeight="1" x14ac:dyDescent="0.2">
      <c r="A91" s="95" t="s">
        <v>172</v>
      </c>
      <c r="B91" s="68">
        <v>45511</v>
      </c>
      <c r="C91" s="4" t="s">
        <v>42</v>
      </c>
      <c r="D91" s="4" t="s">
        <v>28</v>
      </c>
      <c r="E91" s="2" t="s">
        <v>29</v>
      </c>
      <c r="F91" s="4">
        <v>5</v>
      </c>
      <c r="G91" s="48">
        <v>7150</v>
      </c>
      <c r="H91" s="97">
        <f t="shared" si="3"/>
        <v>35750</v>
      </c>
      <c r="K91">
        <f t="shared" si="4"/>
        <v>6</v>
      </c>
      <c r="N91">
        <v>7</v>
      </c>
    </row>
    <row r="92" spans="1:14" ht="15" customHeight="1" x14ac:dyDescent="0.2">
      <c r="A92" s="96" t="s">
        <v>130</v>
      </c>
      <c r="B92" s="68">
        <v>45515</v>
      </c>
      <c r="C92" s="2" t="s">
        <v>42</v>
      </c>
      <c r="D92" s="2" t="s">
        <v>28</v>
      </c>
      <c r="E92" s="4" t="s">
        <v>29</v>
      </c>
      <c r="F92" s="2" t="s">
        <v>73</v>
      </c>
      <c r="G92" s="50">
        <v>6900</v>
      </c>
      <c r="H92" s="97">
        <f t="shared" si="3"/>
        <v>55200</v>
      </c>
      <c r="K92">
        <f t="shared" si="4"/>
        <v>6</v>
      </c>
      <c r="N92">
        <v>7</v>
      </c>
    </row>
    <row r="93" spans="1:14" ht="15" customHeight="1" x14ac:dyDescent="0.2">
      <c r="A93" s="96" t="s">
        <v>179</v>
      </c>
      <c r="B93" s="68">
        <v>45531</v>
      </c>
      <c r="C93" s="4" t="s">
        <v>42</v>
      </c>
      <c r="D93" s="2" t="s">
        <v>28</v>
      </c>
      <c r="E93" s="2" t="s">
        <v>29</v>
      </c>
      <c r="F93" s="2" t="s">
        <v>51</v>
      </c>
      <c r="G93" s="50">
        <v>8100</v>
      </c>
      <c r="H93" s="97">
        <f t="shared" si="3"/>
        <v>113400</v>
      </c>
      <c r="K93">
        <f t="shared" si="4"/>
        <v>6</v>
      </c>
      <c r="N93">
        <v>7</v>
      </c>
    </row>
    <row r="94" spans="1:14" ht="15" customHeight="1" x14ac:dyDescent="0.2">
      <c r="A94" s="96" t="s">
        <v>102</v>
      </c>
      <c r="B94" s="67">
        <v>45536</v>
      </c>
      <c r="C94" s="2" t="s">
        <v>42</v>
      </c>
      <c r="D94" s="2" t="s">
        <v>28</v>
      </c>
      <c r="E94" s="4" t="s">
        <v>29</v>
      </c>
      <c r="F94" s="2" t="s">
        <v>103</v>
      </c>
      <c r="G94" s="50">
        <v>2250</v>
      </c>
      <c r="H94" s="97">
        <f t="shared" si="3"/>
        <v>58500</v>
      </c>
      <c r="K94">
        <f t="shared" si="4"/>
        <v>6</v>
      </c>
      <c r="N94">
        <v>7</v>
      </c>
    </row>
    <row r="95" spans="1:14" ht="15" customHeight="1" x14ac:dyDescent="0.2">
      <c r="A95" s="96" t="s">
        <v>207</v>
      </c>
      <c r="B95" s="67">
        <v>45560</v>
      </c>
      <c r="C95" s="2" t="s">
        <v>42</v>
      </c>
      <c r="D95" s="2" t="s">
        <v>28</v>
      </c>
      <c r="E95" s="4" t="s">
        <v>29</v>
      </c>
      <c r="F95" s="2" t="s">
        <v>162</v>
      </c>
      <c r="G95" s="50">
        <v>6550</v>
      </c>
      <c r="H95" s="97">
        <f t="shared" si="3"/>
        <v>203050</v>
      </c>
      <c r="K95">
        <f t="shared" si="4"/>
        <v>6</v>
      </c>
      <c r="N95">
        <v>7</v>
      </c>
    </row>
    <row r="96" spans="1:14" ht="15" customHeight="1" x14ac:dyDescent="0.2">
      <c r="A96" s="95" t="s">
        <v>110</v>
      </c>
      <c r="B96" s="67">
        <v>45561</v>
      </c>
      <c r="C96" s="4" t="s">
        <v>42</v>
      </c>
      <c r="D96" s="4" t="s">
        <v>28</v>
      </c>
      <c r="E96" s="2" t="s">
        <v>34</v>
      </c>
      <c r="F96" s="4" t="s">
        <v>48</v>
      </c>
      <c r="G96" s="48">
        <v>2100</v>
      </c>
      <c r="H96" s="97">
        <f t="shared" si="3"/>
        <v>39900</v>
      </c>
      <c r="K96">
        <f t="shared" si="4"/>
        <v>6</v>
      </c>
      <c r="N96">
        <v>6</v>
      </c>
    </row>
    <row r="97" spans="1:14" ht="15" customHeight="1" x14ac:dyDescent="0.2">
      <c r="A97" s="96" t="s">
        <v>156</v>
      </c>
      <c r="B97" s="68">
        <v>45571</v>
      </c>
      <c r="C97" s="4" t="s">
        <v>42</v>
      </c>
      <c r="D97" s="2" t="s">
        <v>28</v>
      </c>
      <c r="E97" s="4" t="s">
        <v>34</v>
      </c>
      <c r="F97" s="2" t="s">
        <v>87</v>
      </c>
      <c r="G97" s="50">
        <v>2450</v>
      </c>
      <c r="H97" s="97">
        <f t="shared" si="3"/>
        <v>41650</v>
      </c>
      <c r="K97">
        <f t="shared" si="4"/>
        <v>6</v>
      </c>
      <c r="N97">
        <v>6</v>
      </c>
    </row>
    <row r="98" spans="1:14" ht="15" customHeight="1" x14ac:dyDescent="0.2">
      <c r="A98" s="95" t="s">
        <v>122</v>
      </c>
      <c r="B98" s="68">
        <v>45589</v>
      </c>
      <c r="C98" s="2" t="s">
        <v>42</v>
      </c>
      <c r="D98" s="4" t="s">
        <v>28</v>
      </c>
      <c r="E98" s="4" t="s">
        <v>34</v>
      </c>
      <c r="F98" s="4" t="s">
        <v>57</v>
      </c>
      <c r="G98" s="48">
        <v>2550</v>
      </c>
      <c r="H98" s="97">
        <f t="shared" si="3"/>
        <v>30600</v>
      </c>
      <c r="K98">
        <f t="shared" si="4"/>
        <v>6</v>
      </c>
      <c r="N98">
        <v>6</v>
      </c>
    </row>
    <row r="99" spans="1:14" ht="15" customHeight="1" x14ac:dyDescent="0.2">
      <c r="A99" s="95" t="s">
        <v>157</v>
      </c>
      <c r="B99" s="67">
        <v>44760</v>
      </c>
      <c r="C99" s="2" t="s">
        <v>33</v>
      </c>
      <c r="D99" s="4" t="s">
        <v>13</v>
      </c>
      <c r="E99" s="4" t="s">
        <v>34</v>
      </c>
      <c r="F99" s="4" t="s">
        <v>19</v>
      </c>
      <c r="G99" s="48">
        <v>2450</v>
      </c>
      <c r="H99" s="97">
        <f t="shared" ref="H99:H122" si="5">F99*G99</f>
        <v>58800</v>
      </c>
      <c r="K99">
        <f t="shared" si="4"/>
        <v>6</v>
      </c>
      <c r="N99">
        <v>6</v>
      </c>
    </row>
    <row r="100" spans="1:14" ht="15" customHeight="1" x14ac:dyDescent="0.2">
      <c r="A100" s="95" t="s">
        <v>196</v>
      </c>
      <c r="B100" s="67">
        <v>44763</v>
      </c>
      <c r="C100" s="4" t="s">
        <v>33</v>
      </c>
      <c r="D100" s="4" t="s">
        <v>13</v>
      </c>
      <c r="E100" s="2" t="s">
        <v>34</v>
      </c>
      <c r="F100" s="4" t="s">
        <v>197</v>
      </c>
      <c r="G100" s="48">
        <v>350</v>
      </c>
      <c r="H100" s="97">
        <f t="shared" si="5"/>
        <v>46900</v>
      </c>
      <c r="K100">
        <f t="shared" si="4"/>
        <v>6</v>
      </c>
      <c r="N100">
        <v>6</v>
      </c>
    </row>
    <row r="101" spans="1:14" ht="15" customHeight="1" x14ac:dyDescent="0.2">
      <c r="A101" s="96" t="s">
        <v>189</v>
      </c>
      <c r="B101" s="67">
        <v>44878</v>
      </c>
      <c r="C101" s="4" t="s">
        <v>33</v>
      </c>
      <c r="D101" s="2" t="s">
        <v>13</v>
      </c>
      <c r="E101" s="2" t="s">
        <v>34</v>
      </c>
      <c r="F101" s="2" t="s">
        <v>190</v>
      </c>
      <c r="G101" s="50">
        <v>350</v>
      </c>
      <c r="H101" s="97">
        <f t="shared" si="5"/>
        <v>39550</v>
      </c>
      <c r="K101">
        <f t="shared" si="4"/>
        <v>6</v>
      </c>
      <c r="N101">
        <v>6</v>
      </c>
    </row>
    <row r="102" spans="1:14" ht="15" customHeight="1" x14ac:dyDescent="0.2">
      <c r="A102" s="96" t="s">
        <v>93</v>
      </c>
      <c r="B102" s="67">
        <v>44881</v>
      </c>
      <c r="C102" s="2" t="s">
        <v>33</v>
      </c>
      <c r="D102" s="2" t="s">
        <v>13</v>
      </c>
      <c r="E102" s="4" t="s">
        <v>34</v>
      </c>
      <c r="F102" s="2" t="s">
        <v>95</v>
      </c>
      <c r="G102" s="50">
        <v>250</v>
      </c>
      <c r="H102" s="97">
        <f t="shared" si="5"/>
        <v>46250</v>
      </c>
      <c r="K102">
        <f t="shared" si="4"/>
        <v>6</v>
      </c>
      <c r="N102">
        <v>6</v>
      </c>
    </row>
    <row r="103" spans="1:14" ht="15" customHeight="1" x14ac:dyDescent="0.2">
      <c r="A103" s="96" t="s">
        <v>150</v>
      </c>
      <c r="B103" s="67">
        <v>44882</v>
      </c>
      <c r="C103" s="4" t="s">
        <v>33</v>
      </c>
      <c r="D103" s="2" t="s">
        <v>13</v>
      </c>
      <c r="E103" s="4" t="s">
        <v>34</v>
      </c>
      <c r="F103" s="2" t="s">
        <v>141</v>
      </c>
      <c r="G103" s="50">
        <v>5600</v>
      </c>
      <c r="H103" s="97">
        <f t="shared" si="5"/>
        <v>179200</v>
      </c>
      <c r="K103">
        <f t="shared" si="4"/>
        <v>6</v>
      </c>
      <c r="N103">
        <v>6</v>
      </c>
    </row>
    <row r="104" spans="1:14" ht="15" customHeight="1" x14ac:dyDescent="0.2">
      <c r="A104" s="96" t="s">
        <v>111</v>
      </c>
      <c r="B104" s="67">
        <v>45009</v>
      </c>
      <c r="C104" s="4" t="s">
        <v>33</v>
      </c>
      <c r="D104" s="2" t="s">
        <v>13</v>
      </c>
      <c r="E104" s="2" t="s">
        <v>34</v>
      </c>
      <c r="F104" s="2" t="s">
        <v>23</v>
      </c>
      <c r="G104" s="50">
        <v>4350</v>
      </c>
      <c r="H104" s="97">
        <f t="shared" si="5"/>
        <v>26100</v>
      </c>
      <c r="K104">
        <f t="shared" si="4"/>
        <v>6</v>
      </c>
      <c r="N104">
        <v>6</v>
      </c>
    </row>
    <row r="105" spans="1:14" ht="15" customHeight="1" x14ac:dyDescent="0.2">
      <c r="A105" s="95" t="s">
        <v>131</v>
      </c>
      <c r="B105" s="67">
        <v>45013</v>
      </c>
      <c r="C105" s="4" t="s">
        <v>33</v>
      </c>
      <c r="D105" s="4" t="s">
        <v>13</v>
      </c>
      <c r="E105" s="4" t="s">
        <v>34</v>
      </c>
      <c r="F105" s="4" t="s">
        <v>44</v>
      </c>
      <c r="G105" s="48">
        <v>2450</v>
      </c>
      <c r="H105" s="97">
        <f t="shared" si="5"/>
        <v>31850</v>
      </c>
      <c r="K105">
        <f t="shared" si="4"/>
        <v>6</v>
      </c>
      <c r="N105">
        <v>6</v>
      </c>
    </row>
    <row r="106" spans="1:14" ht="15" customHeight="1" x14ac:dyDescent="0.2">
      <c r="A106" s="96" t="s">
        <v>163</v>
      </c>
      <c r="B106" s="67">
        <v>45126</v>
      </c>
      <c r="C106" s="4" t="s">
        <v>33</v>
      </c>
      <c r="D106" s="2" t="s">
        <v>13</v>
      </c>
      <c r="E106" s="4" t="s">
        <v>34</v>
      </c>
      <c r="F106" s="2" t="s">
        <v>90</v>
      </c>
      <c r="G106" s="50">
        <v>5350</v>
      </c>
      <c r="H106" s="97">
        <f t="shared" si="5"/>
        <v>48150</v>
      </c>
      <c r="K106">
        <f t="shared" si="4"/>
        <v>6</v>
      </c>
      <c r="N106">
        <v>6</v>
      </c>
    </row>
    <row r="107" spans="1:14" ht="15" customHeight="1" x14ac:dyDescent="0.2">
      <c r="A107" s="95" t="s">
        <v>180</v>
      </c>
      <c r="B107" s="67">
        <v>45128</v>
      </c>
      <c r="C107" s="4" t="s">
        <v>33</v>
      </c>
      <c r="D107" s="4" t="s">
        <v>13</v>
      </c>
      <c r="E107" s="2" t="s">
        <v>34</v>
      </c>
      <c r="F107" s="4" t="s">
        <v>181</v>
      </c>
      <c r="G107" s="48">
        <v>7950</v>
      </c>
      <c r="H107" s="97">
        <f t="shared" si="5"/>
        <v>127200</v>
      </c>
      <c r="K107">
        <f t="shared" si="4"/>
        <v>6</v>
      </c>
      <c r="N107">
        <v>6</v>
      </c>
    </row>
    <row r="108" spans="1:14" ht="15" customHeight="1" x14ac:dyDescent="0.2">
      <c r="A108" s="95" t="s">
        <v>208</v>
      </c>
      <c r="B108" s="67">
        <v>45243</v>
      </c>
      <c r="C108" s="2" t="s">
        <v>33</v>
      </c>
      <c r="D108" s="4" t="s">
        <v>13</v>
      </c>
      <c r="E108" s="2" t="s">
        <v>34</v>
      </c>
      <c r="F108" s="4" t="s">
        <v>145</v>
      </c>
      <c r="G108" s="48">
        <v>2750</v>
      </c>
      <c r="H108" s="97">
        <f t="shared" si="5"/>
        <v>79750</v>
      </c>
      <c r="K108">
        <f t="shared" si="4"/>
        <v>6</v>
      </c>
      <c r="N108">
        <v>6</v>
      </c>
    </row>
    <row r="109" spans="1:14" ht="15" customHeight="1" x14ac:dyDescent="0.2">
      <c r="A109" s="96" t="s">
        <v>123</v>
      </c>
      <c r="B109" s="67">
        <v>45254</v>
      </c>
      <c r="C109" s="4" t="s">
        <v>33</v>
      </c>
      <c r="D109" s="2" t="s">
        <v>13</v>
      </c>
      <c r="E109" s="2" t="s">
        <v>34</v>
      </c>
      <c r="F109" s="2" t="s">
        <v>124</v>
      </c>
      <c r="G109" s="50">
        <v>300</v>
      </c>
      <c r="H109" s="97">
        <f t="shared" si="5"/>
        <v>31200</v>
      </c>
      <c r="K109">
        <f t="shared" si="4"/>
        <v>6</v>
      </c>
      <c r="N109">
        <v>6</v>
      </c>
    </row>
    <row r="110" spans="1:14" ht="15" customHeight="1" x14ac:dyDescent="0.2">
      <c r="A110" s="96" t="s">
        <v>74</v>
      </c>
      <c r="B110" s="67">
        <v>45364</v>
      </c>
      <c r="C110" s="2" t="s">
        <v>33</v>
      </c>
      <c r="D110" s="2" t="s">
        <v>13</v>
      </c>
      <c r="E110" s="2" t="s">
        <v>34</v>
      </c>
      <c r="F110" s="2" t="s">
        <v>57</v>
      </c>
      <c r="G110" s="50">
        <v>6750</v>
      </c>
      <c r="H110" s="97">
        <f t="shared" si="5"/>
        <v>81000</v>
      </c>
      <c r="K110">
        <f t="shared" si="4"/>
        <v>6</v>
      </c>
      <c r="N110">
        <v>6</v>
      </c>
    </row>
    <row r="111" spans="1:14" ht="15" customHeight="1" x14ac:dyDescent="0.2">
      <c r="A111" s="95" t="s">
        <v>104</v>
      </c>
      <c r="B111" s="67">
        <v>45373</v>
      </c>
      <c r="C111" s="2" t="s">
        <v>33</v>
      </c>
      <c r="D111" s="4" t="s">
        <v>13</v>
      </c>
      <c r="E111" s="2" t="s">
        <v>34</v>
      </c>
      <c r="F111" s="4" t="s">
        <v>51</v>
      </c>
      <c r="G111" s="48">
        <v>6750</v>
      </c>
      <c r="H111" s="97">
        <f t="shared" si="5"/>
        <v>94500</v>
      </c>
      <c r="K111">
        <f t="shared" si="4"/>
        <v>6</v>
      </c>
      <c r="N111">
        <v>6</v>
      </c>
    </row>
    <row r="112" spans="1:14" ht="15" customHeight="1" x14ac:dyDescent="0.2">
      <c r="A112" s="95" t="s">
        <v>144</v>
      </c>
      <c r="B112" s="67">
        <v>45377</v>
      </c>
      <c r="C112" s="4" t="s">
        <v>33</v>
      </c>
      <c r="D112" s="4" t="s">
        <v>13</v>
      </c>
      <c r="E112" s="4" t="s">
        <v>34</v>
      </c>
      <c r="F112" s="4" t="s">
        <v>145</v>
      </c>
      <c r="G112" s="48">
        <v>5600</v>
      </c>
      <c r="H112" s="97">
        <f t="shared" si="5"/>
        <v>162400</v>
      </c>
      <c r="K112">
        <f t="shared" si="4"/>
        <v>6</v>
      </c>
      <c r="N112">
        <v>6</v>
      </c>
    </row>
    <row r="113" spans="1:14" ht="15" customHeight="1" x14ac:dyDescent="0.2">
      <c r="A113" s="95" t="s">
        <v>117</v>
      </c>
      <c r="B113" s="67">
        <v>45487</v>
      </c>
      <c r="C113" s="2" t="s">
        <v>33</v>
      </c>
      <c r="D113" s="4" t="s">
        <v>13</v>
      </c>
      <c r="E113" s="4" t="s">
        <v>34</v>
      </c>
      <c r="F113" s="4" t="s">
        <v>19</v>
      </c>
      <c r="G113" s="48">
        <v>2750</v>
      </c>
      <c r="H113" s="97">
        <f t="shared" si="5"/>
        <v>66000</v>
      </c>
      <c r="K113">
        <f t="shared" si="4"/>
        <v>6</v>
      </c>
      <c r="N113">
        <v>6</v>
      </c>
    </row>
    <row r="114" spans="1:14" ht="15" customHeight="1" x14ac:dyDescent="0.2">
      <c r="A114" s="96" t="s">
        <v>137</v>
      </c>
      <c r="B114" s="67">
        <v>45490</v>
      </c>
      <c r="C114" s="4" t="s">
        <v>33</v>
      </c>
      <c r="D114" s="2" t="s">
        <v>13</v>
      </c>
      <c r="E114" s="2" t="s">
        <v>34</v>
      </c>
      <c r="F114" s="2" t="s">
        <v>138</v>
      </c>
      <c r="G114" s="50">
        <v>5800</v>
      </c>
      <c r="H114" s="97">
        <f t="shared" si="5"/>
        <v>145000</v>
      </c>
      <c r="K114">
        <f t="shared" si="4"/>
        <v>6</v>
      </c>
      <c r="N114">
        <v>6</v>
      </c>
    </row>
    <row r="115" spans="1:14" ht="15" customHeight="1" x14ac:dyDescent="0.2">
      <c r="A115" s="95" t="s">
        <v>168</v>
      </c>
      <c r="B115" s="67">
        <v>45501</v>
      </c>
      <c r="C115" s="2" t="s">
        <v>33</v>
      </c>
      <c r="D115" s="4" t="s">
        <v>13</v>
      </c>
      <c r="E115" s="2" t="s">
        <v>34</v>
      </c>
      <c r="F115" s="4" t="s">
        <v>116</v>
      </c>
      <c r="G115" s="48">
        <v>6550</v>
      </c>
      <c r="H115" s="97">
        <f t="shared" si="5"/>
        <v>275100</v>
      </c>
      <c r="K115">
        <f t="shared" si="4"/>
        <v>6</v>
      </c>
      <c r="N115">
        <v>6</v>
      </c>
    </row>
    <row r="116" spans="1:14" ht="15" customHeight="1" x14ac:dyDescent="0.2">
      <c r="A116" s="96" t="s">
        <v>10</v>
      </c>
      <c r="B116" s="68">
        <v>45593</v>
      </c>
      <c r="C116" s="2" t="s">
        <v>33</v>
      </c>
      <c r="D116" s="2" t="s">
        <v>13</v>
      </c>
      <c r="E116" s="2" t="s">
        <v>34</v>
      </c>
      <c r="F116" s="2" t="s">
        <v>15</v>
      </c>
      <c r="G116" s="50">
        <v>6650</v>
      </c>
      <c r="H116" s="97">
        <f t="shared" si="5"/>
        <v>33250</v>
      </c>
      <c r="K116">
        <f t="shared" si="4"/>
        <v>6</v>
      </c>
      <c r="N116">
        <v>6</v>
      </c>
    </row>
    <row r="117" spans="1:14" ht="15" customHeight="1" x14ac:dyDescent="0.2">
      <c r="A117" s="96" t="s">
        <v>202</v>
      </c>
      <c r="B117" s="67">
        <v>45611</v>
      </c>
      <c r="C117" s="2" t="s">
        <v>33</v>
      </c>
      <c r="D117" s="2" t="s">
        <v>13</v>
      </c>
      <c r="E117" s="2" t="s">
        <v>34</v>
      </c>
      <c r="F117" s="2" t="s">
        <v>203</v>
      </c>
      <c r="G117" s="50">
        <v>2850</v>
      </c>
      <c r="H117" s="97">
        <f t="shared" si="5"/>
        <v>65550</v>
      </c>
      <c r="K117">
        <f t="shared" si="4"/>
        <v>6</v>
      </c>
      <c r="N117">
        <v>6</v>
      </c>
    </row>
    <row r="118" spans="1:14" ht="15" customHeight="1" x14ac:dyDescent="0.2">
      <c r="A118" s="96" t="s">
        <v>47</v>
      </c>
      <c r="B118" s="67">
        <v>45614</v>
      </c>
      <c r="C118" s="4" t="s">
        <v>33</v>
      </c>
      <c r="D118" s="2" t="s">
        <v>13</v>
      </c>
      <c r="E118" s="4" t="s">
        <v>34</v>
      </c>
      <c r="F118" s="2" t="s">
        <v>48</v>
      </c>
      <c r="G118" s="50">
        <v>6350</v>
      </c>
      <c r="H118" s="97">
        <f t="shared" si="5"/>
        <v>120650</v>
      </c>
      <c r="K118">
        <f t="shared" si="4"/>
        <v>6</v>
      </c>
      <c r="N118">
        <v>6</v>
      </c>
    </row>
    <row r="119" spans="1:14" ht="15" customHeight="1" x14ac:dyDescent="0.2">
      <c r="A119" s="96" t="s">
        <v>173</v>
      </c>
      <c r="B119" s="67">
        <v>45618</v>
      </c>
      <c r="C119" s="4" t="s">
        <v>33</v>
      </c>
      <c r="D119" s="2" t="s">
        <v>13</v>
      </c>
      <c r="E119" s="2" t="s">
        <v>34</v>
      </c>
      <c r="F119" s="2" t="s">
        <v>175</v>
      </c>
      <c r="G119" s="50">
        <v>350</v>
      </c>
      <c r="H119" s="97">
        <f t="shared" si="5"/>
        <v>66850</v>
      </c>
      <c r="K119">
        <f t="shared" si="4"/>
        <v>6</v>
      </c>
      <c r="N119">
        <v>6</v>
      </c>
    </row>
    <row r="120" spans="1:14" ht="15" customHeight="1" x14ac:dyDescent="0.2">
      <c r="A120" s="95" t="s">
        <v>83</v>
      </c>
      <c r="B120" s="68">
        <v>45649</v>
      </c>
      <c r="C120" s="2" t="s">
        <v>33</v>
      </c>
      <c r="D120" s="4" t="s">
        <v>13</v>
      </c>
      <c r="E120" s="4" t="s">
        <v>34</v>
      </c>
      <c r="F120" s="4" t="s">
        <v>31</v>
      </c>
      <c r="G120" s="48">
        <v>4250</v>
      </c>
      <c r="H120" s="97">
        <f t="shared" si="5"/>
        <v>46750</v>
      </c>
      <c r="K120">
        <f t="shared" si="4"/>
        <v>6</v>
      </c>
      <c r="N120">
        <v>6</v>
      </c>
    </row>
    <row r="121" spans="1:14" ht="15" customHeight="1" x14ac:dyDescent="0.2">
      <c r="A121" s="95" t="s">
        <v>61</v>
      </c>
      <c r="B121" s="68">
        <v>45654</v>
      </c>
      <c r="C121" s="2" t="s">
        <v>33</v>
      </c>
      <c r="D121" s="4" t="s">
        <v>13</v>
      </c>
      <c r="E121" s="2" t="s">
        <v>34</v>
      </c>
      <c r="F121" s="4" t="s">
        <v>63</v>
      </c>
      <c r="G121" s="48">
        <v>250</v>
      </c>
      <c r="H121" s="97">
        <f t="shared" si="5"/>
        <v>35750</v>
      </c>
      <c r="K121">
        <f t="shared" si="4"/>
        <v>6</v>
      </c>
      <c r="N121">
        <v>6</v>
      </c>
    </row>
    <row r="122" spans="1:14" ht="15" customHeight="1" x14ac:dyDescent="0.2">
      <c r="A122" s="101" t="s">
        <v>30</v>
      </c>
      <c r="B122" s="102">
        <v>45654</v>
      </c>
      <c r="C122" s="103" t="s">
        <v>33</v>
      </c>
      <c r="D122" s="104" t="s">
        <v>13</v>
      </c>
      <c r="E122" s="104" t="s">
        <v>34</v>
      </c>
      <c r="F122" s="104" t="s">
        <v>31</v>
      </c>
      <c r="G122" s="105">
        <v>3800</v>
      </c>
      <c r="H122" s="106">
        <f t="shared" si="5"/>
        <v>41800</v>
      </c>
      <c r="K122">
        <f t="shared" si="4"/>
        <v>6</v>
      </c>
      <c r="N122">
        <v>6</v>
      </c>
    </row>
  </sheetData>
  <sortState xmlns:xlrd2="http://schemas.microsoft.com/office/spreadsheetml/2017/richdata2" ref="B3:B122">
    <sortCondition ref="B3:B122"/>
  </sortState>
  <mergeCells count="1">
    <mergeCell ref="A1:H1"/>
  </mergeCells>
  <pageMargins left="0.75" right="0.75" top="1" bottom="1" header="0.511811023622047" footer="0.511811023622047"/>
  <pageSetup paperSize="9" orientation="portrait" horizontalDpi="300" verticalDpi="30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EF18-08CB-924B-B46E-B4B9576F2747}">
  <dimension ref="A1:Q122"/>
  <sheetViews>
    <sheetView workbookViewId="0">
      <selection activeCell="M5" sqref="M5"/>
    </sheetView>
  </sheetViews>
  <sheetFormatPr baseColWidth="10" defaultRowHeight="15" x14ac:dyDescent="0.2"/>
  <cols>
    <col min="11" max="11" width="12.1640625" bestFit="1" customWidth="1"/>
    <col min="12" max="12" width="18.5" bestFit="1" customWidth="1"/>
    <col min="16" max="16" width="12.1640625" bestFit="1" customWidth="1"/>
    <col min="17" max="17" width="18.5" bestFit="1" customWidth="1"/>
    <col min="18" max="97" width="9.83203125" bestFit="1" customWidth="1"/>
    <col min="124" max="124" width="10" bestFit="1" customWidth="1"/>
  </cols>
  <sheetData>
    <row r="1" spans="1:17" ht="16" x14ac:dyDescent="0.2">
      <c r="A1" s="85" t="s">
        <v>0</v>
      </c>
      <c r="B1" s="85"/>
      <c r="C1" s="85"/>
      <c r="D1" s="85"/>
      <c r="E1" s="85"/>
      <c r="F1" s="85"/>
      <c r="G1" s="85"/>
      <c r="H1" s="85"/>
      <c r="I1" s="85"/>
    </row>
    <row r="2" spans="1:17" ht="70" x14ac:dyDescent="0.2">
      <c r="A2" s="1" t="s">
        <v>1</v>
      </c>
      <c r="B2" s="1" t="s">
        <v>2</v>
      </c>
      <c r="C2" s="1" t="s">
        <v>3</v>
      </c>
      <c r="D2" s="1" t="s">
        <v>4</v>
      </c>
      <c r="E2" s="1" t="s">
        <v>5</v>
      </c>
      <c r="F2" s="1" t="s">
        <v>6</v>
      </c>
      <c r="G2" s="1" t="s">
        <v>7</v>
      </c>
      <c r="H2" s="1" t="s">
        <v>8</v>
      </c>
      <c r="I2" s="1" t="s">
        <v>9</v>
      </c>
    </row>
    <row r="3" spans="1:17" x14ac:dyDescent="0.2">
      <c r="A3" s="4" t="s">
        <v>106</v>
      </c>
      <c r="B3" s="67">
        <v>44564</v>
      </c>
      <c r="C3" s="4" t="s">
        <v>12</v>
      </c>
      <c r="D3" s="4" t="s">
        <v>38</v>
      </c>
      <c r="E3" s="4" t="s">
        <v>39</v>
      </c>
      <c r="F3" s="4" t="s">
        <v>107</v>
      </c>
      <c r="G3" s="48">
        <v>5450</v>
      </c>
      <c r="H3" s="49">
        <f t="shared" ref="H3:H66" si="0">F3*G3</f>
        <v>201650</v>
      </c>
      <c r="I3" s="4"/>
      <c r="K3" s="51" t="s">
        <v>395</v>
      </c>
      <c r="L3" t="s">
        <v>396</v>
      </c>
      <c r="P3" s="51" t="s">
        <v>395</v>
      </c>
      <c r="Q3" t="s">
        <v>396</v>
      </c>
    </row>
    <row r="4" spans="1:17" x14ac:dyDescent="0.2">
      <c r="A4" s="4" t="s">
        <v>88</v>
      </c>
      <c r="B4" s="67">
        <v>44569</v>
      </c>
      <c r="C4" s="4" t="s">
        <v>12</v>
      </c>
      <c r="D4" s="4" t="s">
        <v>38</v>
      </c>
      <c r="E4" s="4" t="s">
        <v>39</v>
      </c>
      <c r="F4" s="4" t="s">
        <v>57</v>
      </c>
      <c r="G4" s="48">
        <v>3750</v>
      </c>
      <c r="H4" s="49">
        <f t="shared" si="0"/>
        <v>45000</v>
      </c>
      <c r="I4" s="4"/>
      <c r="K4" s="52" t="s">
        <v>38</v>
      </c>
      <c r="L4" s="69">
        <v>1697350</v>
      </c>
      <c r="P4" s="52" t="s">
        <v>39</v>
      </c>
      <c r="Q4" s="69">
        <v>1363400</v>
      </c>
    </row>
    <row r="5" spans="1:17" x14ac:dyDescent="0.2">
      <c r="A5" s="4" t="s">
        <v>67</v>
      </c>
      <c r="B5" s="67">
        <v>44570</v>
      </c>
      <c r="C5" s="2" t="s">
        <v>12</v>
      </c>
      <c r="D5" s="4" t="s">
        <v>38</v>
      </c>
      <c r="E5" s="4" t="s">
        <v>39</v>
      </c>
      <c r="F5" s="4" t="s">
        <v>35</v>
      </c>
      <c r="G5" s="48">
        <v>6350</v>
      </c>
      <c r="H5" s="49">
        <f t="shared" si="0"/>
        <v>63500</v>
      </c>
      <c r="I5" s="4"/>
      <c r="K5" s="52" t="s">
        <v>50</v>
      </c>
      <c r="L5" s="69">
        <v>2252600</v>
      </c>
      <c r="P5" s="52" t="s">
        <v>14</v>
      </c>
      <c r="Q5" s="69">
        <v>2586550</v>
      </c>
    </row>
    <row r="6" spans="1:17" x14ac:dyDescent="0.2">
      <c r="A6" s="4" t="s">
        <v>36</v>
      </c>
      <c r="B6" s="67">
        <v>44586</v>
      </c>
      <c r="C6" s="2" t="s">
        <v>12</v>
      </c>
      <c r="D6" s="4" t="s">
        <v>38</v>
      </c>
      <c r="E6" s="2" t="s">
        <v>39</v>
      </c>
      <c r="F6" s="4" t="s">
        <v>40</v>
      </c>
      <c r="G6" s="48">
        <v>250</v>
      </c>
      <c r="H6" s="49">
        <f t="shared" si="0"/>
        <v>34250</v>
      </c>
      <c r="I6" s="4"/>
      <c r="K6" s="52" t="s">
        <v>43</v>
      </c>
      <c r="L6" s="69">
        <v>1616200</v>
      </c>
      <c r="P6" s="52" t="s">
        <v>18</v>
      </c>
      <c r="Q6" s="69">
        <v>1454700</v>
      </c>
    </row>
    <row r="7" spans="1:17" x14ac:dyDescent="0.2">
      <c r="A7" s="2" t="s">
        <v>126</v>
      </c>
      <c r="B7" s="67">
        <v>44595</v>
      </c>
      <c r="C7" s="4" t="s">
        <v>12</v>
      </c>
      <c r="D7" s="2" t="s">
        <v>38</v>
      </c>
      <c r="E7" s="4" t="s">
        <v>39</v>
      </c>
      <c r="F7" s="2" t="s">
        <v>127</v>
      </c>
      <c r="G7" s="50">
        <v>300</v>
      </c>
      <c r="H7" s="49">
        <f t="shared" si="0"/>
        <v>46200</v>
      </c>
      <c r="I7" s="2"/>
      <c r="K7" s="52" t="s">
        <v>28</v>
      </c>
      <c r="L7" s="69">
        <v>2112400</v>
      </c>
      <c r="P7" s="52" t="s">
        <v>29</v>
      </c>
      <c r="Q7" s="69">
        <v>2161750</v>
      </c>
    </row>
    <row r="8" spans="1:17" x14ac:dyDescent="0.2">
      <c r="A8" s="4" t="s">
        <v>159</v>
      </c>
      <c r="B8" s="68">
        <v>44595</v>
      </c>
      <c r="C8" s="2" t="s">
        <v>12</v>
      </c>
      <c r="D8" s="4" t="s">
        <v>38</v>
      </c>
      <c r="E8" s="4" t="s">
        <v>39</v>
      </c>
      <c r="F8" s="4" t="s">
        <v>26</v>
      </c>
      <c r="G8" s="48">
        <v>7400</v>
      </c>
      <c r="H8" s="49">
        <f t="shared" si="0"/>
        <v>51800</v>
      </c>
      <c r="I8" s="4"/>
      <c r="K8" s="52" t="s">
        <v>13</v>
      </c>
      <c r="L8" s="69">
        <v>1949550</v>
      </c>
      <c r="P8" s="52" t="s">
        <v>34</v>
      </c>
      <c r="Q8" s="69">
        <v>2061700</v>
      </c>
    </row>
    <row r="9" spans="1:17" x14ac:dyDescent="0.2">
      <c r="A9" s="4" t="s">
        <v>147</v>
      </c>
      <c r="B9" s="68">
        <v>44605</v>
      </c>
      <c r="C9" s="4" t="s">
        <v>12</v>
      </c>
      <c r="D9" s="4" t="s">
        <v>38</v>
      </c>
      <c r="E9" s="4" t="s">
        <v>39</v>
      </c>
      <c r="F9" s="4" t="s">
        <v>23</v>
      </c>
      <c r="G9" s="48">
        <v>7500</v>
      </c>
      <c r="H9" s="49">
        <f t="shared" si="0"/>
        <v>45000</v>
      </c>
      <c r="I9" s="4"/>
    </row>
    <row r="10" spans="1:17" x14ac:dyDescent="0.2">
      <c r="A10" s="4" t="s">
        <v>120</v>
      </c>
      <c r="B10" s="68">
        <v>44609</v>
      </c>
      <c r="C10" s="2" t="s">
        <v>12</v>
      </c>
      <c r="D10" s="4" t="s">
        <v>38</v>
      </c>
      <c r="E10" s="4" t="s">
        <v>39</v>
      </c>
      <c r="F10" s="4" t="s">
        <v>57</v>
      </c>
      <c r="G10" s="48">
        <v>7500</v>
      </c>
      <c r="H10" s="49">
        <f t="shared" si="0"/>
        <v>90000</v>
      </c>
      <c r="I10" s="4"/>
    </row>
    <row r="11" spans="1:17" x14ac:dyDescent="0.2">
      <c r="A11" s="2" t="s">
        <v>153</v>
      </c>
      <c r="B11" s="68">
        <v>44614</v>
      </c>
      <c r="C11" s="2" t="s">
        <v>12</v>
      </c>
      <c r="D11" s="2" t="s">
        <v>38</v>
      </c>
      <c r="E11" s="4" t="s">
        <v>39</v>
      </c>
      <c r="F11" s="2" t="s">
        <v>154</v>
      </c>
      <c r="G11" s="50">
        <v>7600</v>
      </c>
      <c r="H11" s="49">
        <f t="shared" si="0"/>
        <v>136800</v>
      </c>
      <c r="I11" s="2"/>
    </row>
    <row r="12" spans="1:17" x14ac:dyDescent="0.2">
      <c r="A12" s="2" t="s">
        <v>177</v>
      </c>
      <c r="B12" s="68">
        <v>44653</v>
      </c>
      <c r="C12" s="4" t="s">
        <v>12</v>
      </c>
      <c r="D12" s="2" t="s">
        <v>38</v>
      </c>
      <c r="E12" s="2" t="s">
        <v>39</v>
      </c>
      <c r="F12" s="2" t="s">
        <v>107</v>
      </c>
      <c r="G12" s="50">
        <v>6200</v>
      </c>
      <c r="H12" s="49">
        <f t="shared" si="0"/>
        <v>229400</v>
      </c>
      <c r="I12" s="2"/>
    </row>
    <row r="13" spans="1:17" x14ac:dyDescent="0.2">
      <c r="A13" s="4" t="s">
        <v>210</v>
      </c>
      <c r="B13" s="67">
        <v>44654</v>
      </c>
      <c r="C13" s="4" t="s">
        <v>12</v>
      </c>
      <c r="D13" s="4" t="s">
        <v>38</v>
      </c>
      <c r="E13" s="2" t="s">
        <v>39</v>
      </c>
      <c r="F13" s="4" t="s">
        <v>211</v>
      </c>
      <c r="G13" s="48">
        <v>350</v>
      </c>
      <c r="H13" s="49">
        <f t="shared" si="0"/>
        <v>46550</v>
      </c>
      <c r="I13" s="4"/>
    </row>
    <row r="14" spans="1:17" x14ac:dyDescent="0.2">
      <c r="A14" s="4" t="s">
        <v>183</v>
      </c>
      <c r="B14" s="68">
        <v>44659</v>
      </c>
      <c r="C14" s="4" t="s">
        <v>12</v>
      </c>
      <c r="D14" s="4" t="s">
        <v>38</v>
      </c>
      <c r="E14" s="4" t="s">
        <v>39</v>
      </c>
      <c r="F14" s="4" t="s">
        <v>184</v>
      </c>
      <c r="G14" s="48">
        <v>350</v>
      </c>
      <c r="H14" s="49">
        <f t="shared" si="0"/>
        <v>31150</v>
      </c>
      <c r="I14" s="4"/>
    </row>
    <row r="15" spans="1:17" x14ac:dyDescent="0.2">
      <c r="A15" s="4" t="s">
        <v>170</v>
      </c>
      <c r="B15" s="68">
        <v>44663</v>
      </c>
      <c r="C15" s="2" t="s">
        <v>12</v>
      </c>
      <c r="D15" s="4" t="s">
        <v>38</v>
      </c>
      <c r="E15" s="2" t="s">
        <v>39</v>
      </c>
      <c r="F15" s="4" t="s">
        <v>26</v>
      </c>
      <c r="G15" s="48">
        <v>8550</v>
      </c>
      <c r="H15" s="49">
        <f t="shared" si="0"/>
        <v>59850</v>
      </c>
      <c r="I15" s="4"/>
    </row>
    <row r="16" spans="1:17" x14ac:dyDescent="0.2">
      <c r="A16" s="2" t="s">
        <v>113</v>
      </c>
      <c r="B16" s="68">
        <v>44668</v>
      </c>
      <c r="C16" s="4" t="s">
        <v>12</v>
      </c>
      <c r="D16" s="2" t="s">
        <v>38</v>
      </c>
      <c r="E16" s="2" t="s">
        <v>39</v>
      </c>
      <c r="F16" s="2" t="s">
        <v>26</v>
      </c>
      <c r="G16" s="50">
        <v>4450</v>
      </c>
      <c r="H16" s="49">
        <f t="shared" si="0"/>
        <v>31150</v>
      </c>
      <c r="I16" s="2"/>
    </row>
    <row r="17" spans="1:17" x14ac:dyDescent="0.2">
      <c r="A17" s="2" t="s">
        <v>140</v>
      </c>
      <c r="B17" s="67">
        <v>44684</v>
      </c>
      <c r="C17" s="2" t="s">
        <v>12</v>
      </c>
      <c r="D17" s="2" t="s">
        <v>38</v>
      </c>
      <c r="E17" s="2" t="s">
        <v>39</v>
      </c>
      <c r="F17" s="2" t="s">
        <v>141</v>
      </c>
      <c r="G17" s="50">
        <v>5500</v>
      </c>
      <c r="H17" s="49">
        <f t="shared" si="0"/>
        <v>176000</v>
      </c>
      <c r="I17" s="2"/>
    </row>
    <row r="18" spans="1:17" x14ac:dyDescent="0.2">
      <c r="A18" s="2" t="s">
        <v>192</v>
      </c>
      <c r="B18" s="67">
        <v>44703</v>
      </c>
      <c r="C18" s="2" t="s">
        <v>12</v>
      </c>
      <c r="D18" s="2" t="s">
        <v>38</v>
      </c>
      <c r="E18" s="2" t="s">
        <v>39</v>
      </c>
      <c r="F18" s="2">
        <v>106</v>
      </c>
      <c r="G18" s="50">
        <v>350</v>
      </c>
      <c r="H18" s="49">
        <f t="shared" si="0"/>
        <v>37100</v>
      </c>
      <c r="I18" s="2"/>
    </row>
    <row r="19" spans="1:17" x14ac:dyDescent="0.2">
      <c r="A19" s="2" t="s">
        <v>78</v>
      </c>
      <c r="B19" s="67">
        <v>44704</v>
      </c>
      <c r="C19" s="2" t="s">
        <v>12</v>
      </c>
      <c r="D19" s="2" t="s">
        <v>38</v>
      </c>
      <c r="E19" s="4" t="s">
        <v>39</v>
      </c>
      <c r="F19" s="2" t="s">
        <v>35</v>
      </c>
      <c r="G19" s="50">
        <v>3800</v>
      </c>
      <c r="H19" s="49">
        <f t="shared" si="0"/>
        <v>38000</v>
      </c>
      <c r="I19" s="2"/>
    </row>
    <row r="20" spans="1:17" x14ac:dyDescent="0.2">
      <c r="A20" s="2" t="s">
        <v>52</v>
      </c>
      <c r="B20" s="67">
        <v>44707</v>
      </c>
      <c r="C20" s="4" t="s">
        <v>12</v>
      </c>
      <c r="D20" s="2" t="s">
        <v>38</v>
      </c>
      <c r="E20" s="4" t="s">
        <v>14</v>
      </c>
      <c r="F20" s="2" t="s">
        <v>54</v>
      </c>
      <c r="G20" s="50">
        <v>2100</v>
      </c>
      <c r="H20" s="49">
        <f t="shared" si="0"/>
        <v>58800</v>
      </c>
      <c r="I20" s="2"/>
    </row>
    <row r="21" spans="1:17" x14ac:dyDescent="0.2">
      <c r="A21" s="2" t="s">
        <v>20</v>
      </c>
      <c r="B21" s="67">
        <v>44719</v>
      </c>
      <c r="C21" s="2" t="s">
        <v>12</v>
      </c>
      <c r="D21" s="2" t="s">
        <v>38</v>
      </c>
      <c r="E21" s="4" t="s">
        <v>14</v>
      </c>
      <c r="F21" s="2" t="s">
        <v>23</v>
      </c>
      <c r="G21" s="50">
        <v>4100</v>
      </c>
      <c r="H21" s="49">
        <f t="shared" si="0"/>
        <v>24600</v>
      </c>
      <c r="I21" s="2"/>
    </row>
    <row r="22" spans="1:17" x14ac:dyDescent="0.2">
      <c r="A22" s="2" t="s">
        <v>98</v>
      </c>
      <c r="B22" s="68">
        <v>44720</v>
      </c>
      <c r="C22" s="4" t="s">
        <v>12</v>
      </c>
      <c r="D22" s="2" t="s">
        <v>38</v>
      </c>
      <c r="E22" s="4" t="s">
        <v>14</v>
      </c>
      <c r="F22" s="2" t="s">
        <v>99</v>
      </c>
      <c r="G22" s="50">
        <v>2100</v>
      </c>
      <c r="H22" s="49">
        <f t="shared" si="0"/>
        <v>63000</v>
      </c>
      <c r="I22" s="2"/>
    </row>
    <row r="23" spans="1:17" x14ac:dyDescent="0.2">
      <c r="A23" s="4" t="s">
        <v>133</v>
      </c>
      <c r="B23" s="68">
        <v>44731</v>
      </c>
      <c r="C23" s="4" t="s">
        <v>12</v>
      </c>
      <c r="D23" s="4" t="s">
        <v>38</v>
      </c>
      <c r="E23" s="4" t="s">
        <v>14</v>
      </c>
      <c r="F23" s="4" t="s">
        <v>19</v>
      </c>
      <c r="G23" s="48">
        <v>2450</v>
      </c>
      <c r="H23" s="49">
        <f t="shared" si="0"/>
        <v>58800</v>
      </c>
      <c r="I23" s="4"/>
    </row>
    <row r="24" spans="1:17" x14ac:dyDescent="0.2">
      <c r="A24" s="4" t="s">
        <v>199</v>
      </c>
      <c r="B24" s="68">
        <v>44732</v>
      </c>
      <c r="C24" s="2" t="s">
        <v>12</v>
      </c>
      <c r="D24" s="4" t="s">
        <v>38</v>
      </c>
      <c r="E24" s="4" t="s">
        <v>14</v>
      </c>
      <c r="F24" s="4" t="s">
        <v>35</v>
      </c>
      <c r="G24" s="48">
        <v>5600</v>
      </c>
      <c r="H24" s="49">
        <f t="shared" si="0"/>
        <v>56000</v>
      </c>
      <c r="I24" s="4"/>
    </row>
    <row r="25" spans="1:17" x14ac:dyDescent="0.2">
      <c r="A25" s="2" t="s">
        <v>165</v>
      </c>
      <c r="B25" s="68">
        <v>44780</v>
      </c>
      <c r="C25" s="4" t="s">
        <v>12</v>
      </c>
      <c r="D25" s="2" t="s">
        <v>38</v>
      </c>
      <c r="E25" s="2" t="s">
        <v>14</v>
      </c>
      <c r="F25" s="2" t="s">
        <v>44</v>
      </c>
      <c r="G25" s="50">
        <v>3100</v>
      </c>
      <c r="H25" s="49">
        <f t="shared" si="0"/>
        <v>40300</v>
      </c>
      <c r="I25" s="2"/>
    </row>
    <row r="26" spans="1:17" x14ac:dyDescent="0.2">
      <c r="A26" s="2" t="s">
        <v>205</v>
      </c>
      <c r="B26" s="68">
        <v>44791</v>
      </c>
      <c r="C26" s="2" t="s">
        <v>12</v>
      </c>
      <c r="D26" s="2" t="s">
        <v>38</v>
      </c>
      <c r="E26" s="4" t="s">
        <v>14</v>
      </c>
      <c r="F26" s="2" t="s">
        <v>31</v>
      </c>
      <c r="G26" s="50">
        <v>2950</v>
      </c>
      <c r="H26" s="49">
        <f t="shared" si="0"/>
        <v>32450</v>
      </c>
      <c r="I26" s="2"/>
    </row>
    <row r="27" spans="1:17" x14ac:dyDescent="0.2">
      <c r="A27" s="2" t="s">
        <v>105</v>
      </c>
      <c r="B27" s="68">
        <v>44800</v>
      </c>
      <c r="C27" s="2" t="s">
        <v>59</v>
      </c>
      <c r="D27" s="2" t="s">
        <v>50</v>
      </c>
      <c r="E27" s="2" t="s">
        <v>14</v>
      </c>
      <c r="F27" s="2" t="s">
        <v>73</v>
      </c>
      <c r="G27" s="50">
        <v>3800</v>
      </c>
      <c r="H27" s="49">
        <f t="shared" si="0"/>
        <v>30400</v>
      </c>
      <c r="I27" s="2"/>
      <c r="K27" s="51" t="s">
        <v>395</v>
      </c>
      <c r="L27" t="s">
        <v>396</v>
      </c>
      <c r="P27" s="51" t="s">
        <v>395</v>
      </c>
      <c r="Q27" t="s">
        <v>396</v>
      </c>
    </row>
    <row r="28" spans="1:17" x14ac:dyDescent="0.2">
      <c r="A28" s="4" t="s">
        <v>16</v>
      </c>
      <c r="B28" s="67">
        <v>44807</v>
      </c>
      <c r="C28" s="2" t="s">
        <v>59</v>
      </c>
      <c r="D28" s="4" t="s">
        <v>50</v>
      </c>
      <c r="E28" s="2" t="s">
        <v>14</v>
      </c>
      <c r="F28" s="4" t="s">
        <v>19</v>
      </c>
      <c r="G28" s="48">
        <v>5250</v>
      </c>
      <c r="H28" s="49">
        <f t="shared" si="0"/>
        <v>126000</v>
      </c>
      <c r="I28" s="4"/>
      <c r="K28" s="52" t="s">
        <v>12</v>
      </c>
      <c r="L28" s="69">
        <v>1697350</v>
      </c>
      <c r="P28" s="52" t="s">
        <v>403</v>
      </c>
      <c r="Q28" s="69">
        <v>2833100</v>
      </c>
    </row>
    <row r="29" spans="1:17" x14ac:dyDescent="0.2">
      <c r="A29" s="2" t="s">
        <v>86</v>
      </c>
      <c r="B29" s="67">
        <v>44808</v>
      </c>
      <c r="C29" s="4" t="s">
        <v>59</v>
      </c>
      <c r="D29" s="2" t="s">
        <v>50</v>
      </c>
      <c r="E29" s="4" t="s">
        <v>14</v>
      </c>
      <c r="F29" s="2" t="s">
        <v>87</v>
      </c>
      <c r="G29" s="50">
        <v>2350</v>
      </c>
      <c r="H29" s="49">
        <f t="shared" si="0"/>
        <v>39950</v>
      </c>
      <c r="I29" s="2"/>
      <c r="K29" s="52" t="s">
        <v>59</v>
      </c>
      <c r="L29" s="69">
        <v>2252600</v>
      </c>
      <c r="P29" s="70" t="s">
        <v>404</v>
      </c>
      <c r="Q29" s="69">
        <v>344400</v>
      </c>
    </row>
    <row r="30" spans="1:17" x14ac:dyDescent="0.2">
      <c r="A30" s="2" t="s">
        <v>64</v>
      </c>
      <c r="B30" s="67">
        <v>44814</v>
      </c>
      <c r="C30" s="2" t="s">
        <v>59</v>
      </c>
      <c r="D30" s="2" t="s">
        <v>50</v>
      </c>
      <c r="E30" s="4" t="s">
        <v>14</v>
      </c>
      <c r="F30" s="2" t="s">
        <v>66</v>
      </c>
      <c r="G30" s="50">
        <v>4900</v>
      </c>
      <c r="H30" s="49">
        <f t="shared" si="0"/>
        <v>200900</v>
      </c>
      <c r="I30" s="2"/>
      <c r="K30" s="52" t="s">
        <v>37</v>
      </c>
      <c r="L30" s="69">
        <v>1616200</v>
      </c>
      <c r="P30" s="70" t="s">
        <v>405</v>
      </c>
      <c r="Q30" s="69">
        <v>369800</v>
      </c>
    </row>
    <row r="31" spans="1:17" x14ac:dyDescent="0.2">
      <c r="A31" s="2" t="s">
        <v>32</v>
      </c>
      <c r="B31" s="67">
        <v>44830</v>
      </c>
      <c r="C31" s="4" t="s">
        <v>59</v>
      </c>
      <c r="D31" s="2" t="s">
        <v>50</v>
      </c>
      <c r="E31" s="4" t="s">
        <v>14</v>
      </c>
      <c r="F31" s="2" t="s">
        <v>35</v>
      </c>
      <c r="G31" s="50">
        <v>2250</v>
      </c>
      <c r="H31" s="49">
        <f t="shared" si="0"/>
        <v>22500</v>
      </c>
      <c r="I31" s="2"/>
      <c r="K31" s="52" t="s">
        <v>42</v>
      </c>
      <c r="L31" s="69">
        <v>2112400</v>
      </c>
      <c r="P31" s="70" t="s">
        <v>406</v>
      </c>
      <c r="Q31" s="69">
        <v>398100</v>
      </c>
    </row>
    <row r="32" spans="1:17" x14ac:dyDescent="0.2">
      <c r="A32" s="4" t="s">
        <v>96</v>
      </c>
      <c r="B32" s="68">
        <v>44841</v>
      </c>
      <c r="C32" s="4" t="s">
        <v>59</v>
      </c>
      <c r="D32" s="4" t="s">
        <v>50</v>
      </c>
      <c r="E32" s="2" t="s">
        <v>14</v>
      </c>
      <c r="F32" s="4" t="s">
        <v>73</v>
      </c>
      <c r="G32" s="48">
        <v>6550</v>
      </c>
      <c r="H32" s="49">
        <f t="shared" si="0"/>
        <v>52400</v>
      </c>
      <c r="I32" s="4"/>
      <c r="K32" s="52" t="s">
        <v>33</v>
      </c>
      <c r="L32" s="69">
        <v>1949550</v>
      </c>
      <c r="P32" s="70" t="s">
        <v>407</v>
      </c>
      <c r="Q32" s="69">
        <v>309900</v>
      </c>
    </row>
    <row r="33" spans="1:17" x14ac:dyDescent="0.2">
      <c r="A33" s="4" t="s">
        <v>76</v>
      </c>
      <c r="B33" s="68">
        <v>44858</v>
      </c>
      <c r="C33" s="4" t="s">
        <v>59</v>
      </c>
      <c r="D33" s="4" t="s">
        <v>50</v>
      </c>
      <c r="E33" s="2" t="s">
        <v>14</v>
      </c>
      <c r="F33" s="4" t="s">
        <v>77</v>
      </c>
      <c r="G33" s="48">
        <v>2100</v>
      </c>
      <c r="H33" s="49">
        <f t="shared" si="0"/>
        <v>46200</v>
      </c>
      <c r="I33" s="4"/>
      <c r="P33" s="70" t="s">
        <v>408</v>
      </c>
      <c r="Q33" s="69">
        <v>202400</v>
      </c>
    </row>
    <row r="34" spans="1:17" x14ac:dyDescent="0.2">
      <c r="A34" s="4" t="s">
        <v>49</v>
      </c>
      <c r="B34" s="68">
        <v>44860</v>
      </c>
      <c r="C34" s="4" t="s">
        <v>59</v>
      </c>
      <c r="D34" s="4" t="s">
        <v>50</v>
      </c>
      <c r="E34" s="4" t="s">
        <v>14</v>
      </c>
      <c r="F34" s="4" t="s">
        <v>51</v>
      </c>
      <c r="G34" s="48">
        <v>6750</v>
      </c>
      <c r="H34" s="49">
        <f t="shared" si="0"/>
        <v>94500</v>
      </c>
      <c r="I34" s="4"/>
      <c r="P34" s="70" t="s">
        <v>409</v>
      </c>
      <c r="Q34" s="69">
        <v>105700</v>
      </c>
    </row>
    <row r="35" spans="1:17" x14ac:dyDescent="0.2">
      <c r="A35" s="2" t="s">
        <v>158</v>
      </c>
      <c r="B35" s="68">
        <v>44900</v>
      </c>
      <c r="C35" s="4" t="s">
        <v>59</v>
      </c>
      <c r="D35" s="2" t="s">
        <v>50</v>
      </c>
      <c r="E35" s="4" t="s">
        <v>14</v>
      </c>
      <c r="F35" s="2" t="s">
        <v>15</v>
      </c>
      <c r="G35" s="50">
        <v>7400</v>
      </c>
      <c r="H35" s="49">
        <f t="shared" si="0"/>
        <v>37000</v>
      </c>
      <c r="I35" s="2"/>
      <c r="P35" s="70" t="s">
        <v>410</v>
      </c>
      <c r="Q35" s="69">
        <v>103150</v>
      </c>
    </row>
    <row r="36" spans="1:17" x14ac:dyDescent="0.2">
      <c r="A36" s="4" t="s">
        <v>112</v>
      </c>
      <c r="B36" s="68">
        <v>44912</v>
      </c>
      <c r="C36" s="2" t="s">
        <v>59</v>
      </c>
      <c r="D36" s="4" t="s">
        <v>50</v>
      </c>
      <c r="E36" s="2" t="s">
        <v>14</v>
      </c>
      <c r="F36" s="4" t="s">
        <v>90</v>
      </c>
      <c r="G36" s="48">
        <v>7000</v>
      </c>
      <c r="H36" s="49">
        <f t="shared" si="0"/>
        <v>63000</v>
      </c>
      <c r="I36" s="4"/>
      <c r="P36" s="70" t="s">
        <v>411</v>
      </c>
      <c r="Q36" s="69">
        <v>389350</v>
      </c>
    </row>
    <row r="37" spans="1:17" x14ac:dyDescent="0.2">
      <c r="A37" s="2" t="s">
        <v>132</v>
      </c>
      <c r="B37" s="68">
        <v>44915</v>
      </c>
      <c r="C37" s="4" t="s">
        <v>59</v>
      </c>
      <c r="D37" s="2" t="s">
        <v>50</v>
      </c>
      <c r="E37" s="2" t="s">
        <v>14</v>
      </c>
      <c r="F37" s="2" t="s">
        <v>57</v>
      </c>
      <c r="G37" s="50">
        <v>4350</v>
      </c>
      <c r="H37" s="49">
        <f t="shared" si="0"/>
        <v>52200</v>
      </c>
      <c r="I37" s="2"/>
      <c r="P37" s="70" t="s">
        <v>412</v>
      </c>
      <c r="Q37" s="69">
        <v>193100</v>
      </c>
    </row>
    <row r="38" spans="1:17" x14ac:dyDescent="0.2">
      <c r="A38" s="4" t="s">
        <v>151</v>
      </c>
      <c r="B38" s="67">
        <v>44930</v>
      </c>
      <c r="C38" s="2" t="s">
        <v>59</v>
      </c>
      <c r="D38" s="4" t="s">
        <v>50</v>
      </c>
      <c r="E38" s="2" t="s">
        <v>14</v>
      </c>
      <c r="F38" s="4" t="s">
        <v>152</v>
      </c>
      <c r="G38" s="48">
        <v>6050</v>
      </c>
      <c r="H38" s="49">
        <f t="shared" si="0"/>
        <v>229900</v>
      </c>
      <c r="I38" s="4"/>
      <c r="P38" s="70" t="s">
        <v>413</v>
      </c>
      <c r="Q38" s="69">
        <v>265000</v>
      </c>
    </row>
    <row r="39" spans="1:17" x14ac:dyDescent="0.2">
      <c r="A39" s="4" t="s">
        <v>139</v>
      </c>
      <c r="B39" s="67">
        <v>44931</v>
      </c>
      <c r="C39" s="4" t="s">
        <v>59</v>
      </c>
      <c r="D39" s="4" t="s">
        <v>50</v>
      </c>
      <c r="E39" s="4" t="s">
        <v>14</v>
      </c>
      <c r="F39" s="4" t="s">
        <v>60</v>
      </c>
      <c r="G39" s="48">
        <v>5800</v>
      </c>
      <c r="H39" s="49">
        <f t="shared" si="0"/>
        <v>272600</v>
      </c>
      <c r="I39" s="4"/>
      <c r="P39" s="70" t="s">
        <v>414</v>
      </c>
      <c r="Q39" s="69">
        <v>152200</v>
      </c>
    </row>
    <row r="40" spans="1:17" x14ac:dyDescent="0.2">
      <c r="A40" s="2" t="s">
        <v>146</v>
      </c>
      <c r="B40" s="67">
        <v>44942</v>
      </c>
      <c r="C40" s="2" t="s">
        <v>59</v>
      </c>
      <c r="D40" s="2" t="s">
        <v>50</v>
      </c>
      <c r="E40" s="2" t="s">
        <v>14</v>
      </c>
      <c r="F40" s="2" t="s">
        <v>44</v>
      </c>
      <c r="G40" s="50">
        <v>4350</v>
      </c>
      <c r="H40" s="49">
        <f t="shared" si="0"/>
        <v>56550</v>
      </c>
      <c r="I40" s="2"/>
      <c r="P40" s="52" t="s">
        <v>415</v>
      </c>
      <c r="Q40" s="69">
        <v>3325000</v>
      </c>
    </row>
    <row r="41" spans="1:17" x14ac:dyDescent="0.2">
      <c r="A41" s="2" t="s">
        <v>119</v>
      </c>
      <c r="B41" s="67">
        <v>44945</v>
      </c>
      <c r="C41" s="2" t="s">
        <v>59</v>
      </c>
      <c r="D41" s="2" t="s">
        <v>50</v>
      </c>
      <c r="E41" s="4" t="s">
        <v>14</v>
      </c>
      <c r="F41" s="2" t="s">
        <v>57</v>
      </c>
      <c r="G41" s="50">
        <v>7100</v>
      </c>
      <c r="H41" s="49">
        <f t="shared" si="0"/>
        <v>85200</v>
      </c>
      <c r="I41" s="2"/>
      <c r="P41" s="70" t="s">
        <v>404</v>
      </c>
      <c r="Q41" s="69">
        <v>644250</v>
      </c>
    </row>
    <row r="42" spans="1:17" x14ac:dyDescent="0.2">
      <c r="A42" s="4" t="s">
        <v>125</v>
      </c>
      <c r="B42" s="68">
        <v>44959</v>
      </c>
      <c r="C42" s="4" t="s">
        <v>59</v>
      </c>
      <c r="D42" s="4" t="s">
        <v>50</v>
      </c>
      <c r="E42" s="4" t="s">
        <v>14</v>
      </c>
      <c r="F42" s="4" t="s">
        <v>51</v>
      </c>
      <c r="G42" s="48">
        <v>4650</v>
      </c>
      <c r="H42" s="49">
        <f t="shared" si="0"/>
        <v>65100</v>
      </c>
      <c r="I42" s="4"/>
      <c r="P42" s="70" t="s">
        <v>405</v>
      </c>
      <c r="Q42" s="69">
        <v>346450</v>
      </c>
    </row>
    <row r="43" spans="1:17" x14ac:dyDescent="0.2">
      <c r="A43" s="2" t="s">
        <v>209</v>
      </c>
      <c r="B43" s="68">
        <v>44972</v>
      </c>
      <c r="C43" s="4" t="s">
        <v>59</v>
      </c>
      <c r="D43" s="2" t="s">
        <v>50</v>
      </c>
      <c r="E43" s="4" t="s">
        <v>14</v>
      </c>
      <c r="F43" s="2" t="s">
        <v>51</v>
      </c>
      <c r="G43" s="50">
        <v>8300</v>
      </c>
      <c r="H43" s="49">
        <f t="shared" si="0"/>
        <v>116200</v>
      </c>
      <c r="I43" s="2"/>
      <c r="P43" s="70" t="s">
        <v>416</v>
      </c>
      <c r="Q43" s="69">
        <v>207550</v>
      </c>
    </row>
    <row r="44" spans="1:17" x14ac:dyDescent="0.2">
      <c r="A44" s="4" t="s">
        <v>164</v>
      </c>
      <c r="B44" s="68">
        <v>44973</v>
      </c>
      <c r="C44" s="2" t="s">
        <v>59</v>
      </c>
      <c r="D44" s="4" t="s">
        <v>50</v>
      </c>
      <c r="E44" s="4" t="s">
        <v>14</v>
      </c>
      <c r="F44" s="4" t="s">
        <v>15</v>
      </c>
      <c r="G44" s="48">
        <v>5350</v>
      </c>
      <c r="H44" s="49">
        <f t="shared" si="0"/>
        <v>26750</v>
      </c>
      <c r="I44" s="4"/>
      <c r="P44" s="70" t="s">
        <v>406</v>
      </c>
      <c r="Q44" s="69">
        <v>347250</v>
      </c>
    </row>
    <row r="45" spans="1:17" x14ac:dyDescent="0.2">
      <c r="A45" s="2" t="s">
        <v>182</v>
      </c>
      <c r="B45" s="68">
        <v>44974</v>
      </c>
      <c r="C45" s="2" t="s">
        <v>59</v>
      </c>
      <c r="D45" s="2" t="s">
        <v>50</v>
      </c>
      <c r="E45" s="4" t="s">
        <v>14</v>
      </c>
      <c r="F45" s="2" t="s">
        <v>181</v>
      </c>
      <c r="G45" s="50">
        <v>8650</v>
      </c>
      <c r="H45" s="49">
        <f t="shared" si="0"/>
        <v>138400</v>
      </c>
      <c r="I45" s="2"/>
      <c r="P45" s="70" t="s">
        <v>407</v>
      </c>
      <c r="Q45" s="69">
        <v>275800</v>
      </c>
    </row>
    <row r="46" spans="1:17" x14ac:dyDescent="0.2">
      <c r="A46" s="4" t="s">
        <v>204</v>
      </c>
      <c r="B46" s="67">
        <v>44988</v>
      </c>
      <c r="C46" s="2" t="s">
        <v>59</v>
      </c>
      <c r="D46" s="4" t="s">
        <v>50</v>
      </c>
      <c r="E46" s="2" t="s">
        <v>14</v>
      </c>
      <c r="F46" s="4" t="s">
        <v>87</v>
      </c>
      <c r="G46" s="48">
        <v>8800</v>
      </c>
      <c r="H46" s="49">
        <f t="shared" si="0"/>
        <v>149600</v>
      </c>
      <c r="I46" s="4"/>
      <c r="P46" s="70" t="s">
        <v>408</v>
      </c>
      <c r="Q46" s="69">
        <v>90250</v>
      </c>
    </row>
    <row r="47" spans="1:17" x14ac:dyDescent="0.2">
      <c r="A47" s="4" t="s">
        <v>191</v>
      </c>
      <c r="B47" s="68">
        <v>45023</v>
      </c>
      <c r="C47" s="4" t="s">
        <v>59</v>
      </c>
      <c r="D47" s="4" t="s">
        <v>50</v>
      </c>
      <c r="E47" s="2" t="s">
        <v>14</v>
      </c>
      <c r="F47" s="4" t="s">
        <v>87</v>
      </c>
      <c r="G47" s="48">
        <v>8800</v>
      </c>
      <c r="H47" s="49">
        <f t="shared" si="0"/>
        <v>149600</v>
      </c>
      <c r="I47" s="4"/>
      <c r="P47" s="70" t="s">
        <v>409</v>
      </c>
      <c r="Q47" s="69">
        <v>175350</v>
      </c>
    </row>
    <row r="48" spans="1:17" x14ac:dyDescent="0.2">
      <c r="A48" s="4" t="s">
        <v>176</v>
      </c>
      <c r="B48" s="68">
        <v>45031</v>
      </c>
      <c r="C48" s="4" t="s">
        <v>59</v>
      </c>
      <c r="D48" s="4" t="s">
        <v>50</v>
      </c>
      <c r="E48" s="2" t="s">
        <v>14</v>
      </c>
      <c r="F48" s="4" t="s">
        <v>73</v>
      </c>
      <c r="G48" s="48">
        <v>7700</v>
      </c>
      <c r="H48" s="49">
        <f t="shared" si="0"/>
        <v>61600</v>
      </c>
      <c r="I48" s="4"/>
      <c r="P48" s="70" t="s">
        <v>410</v>
      </c>
      <c r="Q48" s="69">
        <v>183450</v>
      </c>
    </row>
    <row r="49" spans="1:17" x14ac:dyDescent="0.2">
      <c r="A49" s="2" t="s">
        <v>198</v>
      </c>
      <c r="B49" s="68">
        <v>45033</v>
      </c>
      <c r="C49" s="2" t="s">
        <v>59</v>
      </c>
      <c r="D49" s="2" t="s">
        <v>50</v>
      </c>
      <c r="E49" s="4" t="s">
        <v>14</v>
      </c>
      <c r="F49" s="2" t="s">
        <v>46</v>
      </c>
      <c r="G49" s="50">
        <v>2950</v>
      </c>
      <c r="H49" s="49">
        <f t="shared" si="0"/>
        <v>61950</v>
      </c>
      <c r="I49" s="2"/>
      <c r="P49" s="70" t="s">
        <v>411</v>
      </c>
      <c r="Q49" s="69">
        <v>150900</v>
      </c>
    </row>
    <row r="50" spans="1:17" x14ac:dyDescent="0.2">
      <c r="A50" s="2" t="s">
        <v>169</v>
      </c>
      <c r="B50" s="68">
        <v>45034</v>
      </c>
      <c r="C50" s="2" t="s">
        <v>59</v>
      </c>
      <c r="D50" s="2" t="s">
        <v>50</v>
      </c>
      <c r="E50" s="2" t="s">
        <v>14</v>
      </c>
      <c r="F50" s="2" t="s">
        <v>103</v>
      </c>
      <c r="G50" s="50">
        <v>2850</v>
      </c>
      <c r="H50" s="49">
        <f t="shared" si="0"/>
        <v>74100</v>
      </c>
      <c r="I50" s="2"/>
      <c r="P50" s="70" t="s">
        <v>412</v>
      </c>
      <c r="Q50" s="69">
        <v>177300</v>
      </c>
    </row>
    <row r="51" spans="1:17" x14ac:dyDescent="0.2">
      <c r="A51" s="4" t="s">
        <v>55</v>
      </c>
      <c r="B51" s="67">
        <v>45052</v>
      </c>
      <c r="C51" s="4" t="s">
        <v>37</v>
      </c>
      <c r="D51" s="4" t="s">
        <v>43</v>
      </c>
      <c r="E51" s="2" t="s">
        <v>18</v>
      </c>
      <c r="F51" s="4" t="s">
        <v>57</v>
      </c>
      <c r="G51" s="48">
        <v>6650</v>
      </c>
      <c r="H51" s="49">
        <f t="shared" si="0"/>
        <v>79800</v>
      </c>
      <c r="I51" s="4"/>
      <c r="P51" s="70" t="s">
        <v>413</v>
      </c>
      <c r="Q51" s="69">
        <v>460950</v>
      </c>
    </row>
    <row r="52" spans="1:17" x14ac:dyDescent="0.2">
      <c r="A52" s="2" t="s">
        <v>108</v>
      </c>
      <c r="B52" s="67">
        <v>45057</v>
      </c>
      <c r="C52" s="4" t="s">
        <v>37</v>
      </c>
      <c r="D52" s="2" t="s">
        <v>43</v>
      </c>
      <c r="E52" s="2" t="s">
        <v>18</v>
      </c>
      <c r="F52" s="2" t="s">
        <v>109</v>
      </c>
      <c r="G52" s="50">
        <v>6350</v>
      </c>
      <c r="H52" s="49">
        <f t="shared" si="0"/>
        <v>95250</v>
      </c>
      <c r="I52" s="2"/>
      <c r="P52" s="70" t="s">
        <v>414</v>
      </c>
      <c r="Q52" s="69">
        <v>265500</v>
      </c>
    </row>
    <row r="53" spans="1:17" x14ac:dyDescent="0.2">
      <c r="A53" s="4" t="s">
        <v>24</v>
      </c>
      <c r="B53" s="67">
        <v>45063</v>
      </c>
      <c r="C53" s="4" t="s">
        <v>37</v>
      </c>
      <c r="D53" s="4" t="s">
        <v>43</v>
      </c>
      <c r="E53" s="2" t="s">
        <v>18</v>
      </c>
      <c r="F53" s="4" t="s">
        <v>26</v>
      </c>
      <c r="G53" s="48">
        <v>6100</v>
      </c>
      <c r="H53" s="49">
        <f t="shared" si="0"/>
        <v>42700</v>
      </c>
      <c r="I53" s="4"/>
      <c r="P53" s="52" t="s">
        <v>417</v>
      </c>
      <c r="Q53" s="69">
        <v>3470000</v>
      </c>
    </row>
    <row r="54" spans="1:17" x14ac:dyDescent="0.2">
      <c r="A54" s="2" t="s">
        <v>89</v>
      </c>
      <c r="B54" s="67">
        <v>45068</v>
      </c>
      <c r="C54" s="4" t="s">
        <v>37</v>
      </c>
      <c r="D54" s="2" t="s">
        <v>43</v>
      </c>
      <c r="E54" s="4" t="s">
        <v>18</v>
      </c>
      <c r="F54" s="2" t="s">
        <v>90</v>
      </c>
      <c r="G54" s="50">
        <v>6450</v>
      </c>
      <c r="H54" s="49">
        <f t="shared" si="0"/>
        <v>58050</v>
      </c>
      <c r="I54" s="2"/>
      <c r="P54" s="70" t="s">
        <v>404</v>
      </c>
      <c r="Q54" s="69">
        <v>346600</v>
      </c>
    </row>
    <row r="55" spans="1:17" x14ac:dyDescent="0.2">
      <c r="A55" s="2" t="s">
        <v>41</v>
      </c>
      <c r="B55" s="68">
        <v>45080</v>
      </c>
      <c r="C55" s="4" t="s">
        <v>37</v>
      </c>
      <c r="D55" s="2" t="s">
        <v>43</v>
      </c>
      <c r="E55" s="2" t="s">
        <v>18</v>
      </c>
      <c r="F55" s="2" t="s">
        <v>44</v>
      </c>
      <c r="G55" s="50">
        <v>2000</v>
      </c>
      <c r="H55" s="49">
        <f t="shared" si="0"/>
        <v>26000</v>
      </c>
      <c r="I55" s="2"/>
      <c r="P55" s="70" t="s">
        <v>405</v>
      </c>
      <c r="Q55" s="69">
        <v>292550</v>
      </c>
    </row>
    <row r="56" spans="1:17" x14ac:dyDescent="0.2">
      <c r="A56" s="4" t="s">
        <v>100</v>
      </c>
      <c r="B56" s="68">
        <v>45080</v>
      </c>
      <c r="C56" s="4" t="s">
        <v>37</v>
      </c>
      <c r="D56" s="4" t="s">
        <v>43</v>
      </c>
      <c r="E56" s="4" t="s">
        <v>18</v>
      </c>
      <c r="F56" s="4" t="s">
        <v>101</v>
      </c>
      <c r="G56" s="48">
        <v>250</v>
      </c>
      <c r="H56" s="49">
        <f t="shared" si="0"/>
        <v>22500</v>
      </c>
      <c r="I56" s="4"/>
      <c r="P56" s="70" t="s">
        <v>416</v>
      </c>
      <c r="Q56" s="69">
        <v>337900</v>
      </c>
    </row>
    <row r="57" spans="1:17" x14ac:dyDescent="0.2">
      <c r="A57" s="4" t="s">
        <v>79</v>
      </c>
      <c r="B57" s="68">
        <v>45092</v>
      </c>
      <c r="C57" s="4" t="s">
        <v>37</v>
      </c>
      <c r="D57" s="4" t="s">
        <v>43</v>
      </c>
      <c r="E57" s="2" t="s">
        <v>18</v>
      </c>
      <c r="F57" s="4" t="s">
        <v>80</v>
      </c>
      <c r="G57" s="48">
        <v>250</v>
      </c>
      <c r="H57" s="49">
        <f t="shared" si="0"/>
        <v>41750</v>
      </c>
      <c r="I57" s="4"/>
      <c r="P57" s="70" t="s">
        <v>406</v>
      </c>
      <c r="Q57" s="69">
        <v>535050</v>
      </c>
    </row>
    <row r="58" spans="1:17" x14ac:dyDescent="0.2">
      <c r="A58" s="4" t="s">
        <v>128</v>
      </c>
      <c r="B58" s="68">
        <v>45139</v>
      </c>
      <c r="C58" s="2" t="s">
        <v>37</v>
      </c>
      <c r="D58" s="4" t="s">
        <v>43</v>
      </c>
      <c r="E58" s="2" t="s">
        <v>18</v>
      </c>
      <c r="F58" s="4" t="s">
        <v>129</v>
      </c>
      <c r="G58" s="48">
        <v>300</v>
      </c>
      <c r="H58" s="49">
        <f t="shared" si="0"/>
        <v>42000</v>
      </c>
      <c r="I58" s="4"/>
      <c r="P58" s="70" t="s">
        <v>407</v>
      </c>
      <c r="Q58" s="69">
        <v>294050</v>
      </c>
    </row>
    <row r="59" spans="1:17" x14ac:dyDescent="0.2">
      <c r="A59" s="4" t="s">
        <v>114</v>
      </c>
      <c r="B59" s="68">
        <v>45158</v>
      </c>
      <c r="C59" s="4" t="s">
        <v>37</v>
      </c>
      <c r="D59" s="4" t="s">
        <v>43</v>
      </c>
      <c r="E59" s="2" t="s">
        <v>18</v>
      </c>
      <c r="F59" s="4" t="s">
        <v>31</v>
      </c>
      <c r="G59" s="48">
        <v>4950</v>
      </c>
      <c r="H59" s="49">
        <f t="shared" si="0"/>
        <v>54450</v>
      </c>
      <c r="I59" s="4"/>
      <c r="P59" s="70" t="s">
        <v>408</v>
      </c>
      <c r="Q59" s="69">
        <v>189100</v>
      </c>
    </row>
    <row r="60" spans="1:17" x14ac:dyDescent="0.2">
      <c r="A60" s="2" t="s">
        <v>148</v>
      </c>
      <c r="B60" s="68">
        <v>45163</v>
      </c>
      <c r="C60" s="2" t="s">
        <v>37</v>
      </c>
      <c r="D60" s="2" t="s">
        <v>43</v>
      </c>
      <c r="E60" s="2" t="s">
        <v>18</v>
      </c>
      <c r="F60" s="2">
        <v>20</v>
      </c>
      <c r="G60" s="50">
        <v>4350</v>
      </c>
      <c r="H60" s="49">
        <f t="shared" si="0"/>
        <v>87000</v>
      </c>
      <c r="I60" s="2"/>
      <c r="P60" s="70" t="s">
        <v>409</v>
      </c>
      <c r="Q60" s="69">
        <v>486100</v>
      </c>
    </row>
    <row r="61" spans="1:17" x14ac:dyDescent="0.2">
      <c r="A61" s="2" t="s">
        <v>121</v>
      </c>
      <c r="B61" s="67">
        <v>45171</v>
      </c>
      <c r="C61" s="4" t="s">
        <v>37</v>
      </c>
      <c r="D61" s="2" t="s">
        <v>43</v>
      </c>
      <c r="E61" s="4" t="s">
        <v>18</v>
      </c>
      <c r="F61" s="2" t="s">
        <v>23</v>
      </c>
      <c r="G61" s="50">
        <v>7100</v>
      </c>
      <c r="H61" s="49">
        <f t="shared" si="0"/>
        <v>42600</v>
      </c>
      <c r="I61" s="2"/>
      <c r="P61" s="70" t="s">
        <v>410</v>
      </c>
      <c r="Q61" s="69">
        <v>204350</v>
      </c>
    </row>
    <row r="62" spans="1:17" x14ac:dyDescent="0.2">
      <c r="A62" s="4" t="s">
        <v>155</v>
      </c>
      <c r="B62" s="67">
        <v>45185</v>
      </c>
      <c r="C62" s="4" t="s">
        <v>37</v>
      </c>
      <c r="D62" s="4" t="s">
        <v>43</v>
      </c>
      <c r="E62" s="2" t="s">
        <v>18</v>
      </c>
      <c r="F62" s="4" t="s">
        <v>35</v>
      </c>
      <c r="G62" s="48">
        <v>4950</v>
      </c>
      <c r="H62" s="49">
        <f t="shared" si="0"/>
        <v>49500</v>
      </c>
      <c r="I62" s="4"/>
      <c r="P62" s="70" t="s">
        <v>411</v>
      </c>
      <c r="Q62" s="69">
        <v>301450</v>
      </c>
    </row>
    <row r="63" spans="1:17" x14ac:dyDescent="0.2">
      <c r="A63" s="4" t="s">
        <v>142</v>
      </c>
      <c r="B63" s="67">
        <v>45188</v>
      </c>
      <c r="C63" s="2" t="s">
        <v>37</v>
      </c>
      <c r="D63" s="4" t="s">
        <v>43</v>
      </c>
      <c r="E63" s="4" t="s">
        <v>18</v>
      </c>
      <c r="F63" s="4" t="s">
        <v>19</v>
      </c>
      <c r="G63" s="48">
        <v>2450</v>
      </c>
      <c r="H63" s="49">
        <f t="shared" si="0"/>
        <v>58800</v>
      </c>
      <c r="I63" s="4"/>
      <c r="P63" s="70" t="s">
        <v>412</v>
      </c>
      <c r="Q63" s="69">
        <v>105500</v>
      </c>
    </row>
    <row r="64" spans="1:17" x14ac:dyDescent="0.2">
      <c r="A64" s="4" t="s">
        <v>178</v>
      </c>
      <c r="B64" s="68">
        <v>45201</v>
      </c>
      <c r="C64" s="2" t="s">
        <v>37</v>
      </c>
      <c r="D64" s="4" t="s">
        <v>43</v>
      </c>
      <c r="E64" s="4" t="s">
        <v>18</v>
      </c>
      <c r="F64" s="4" t="s">
        <v>44</v>
      </c>
      <c r="G64" s="48">
        <v>5000</v>
      </c>
      <c r="H64" s="49">
        <f t="shared" si="0"/>
        <v>65000</v>
      </c>
      <c r="I64" s="4"/>
      <c r="P64" s="70" t="s">
        <v>413</v>
      </c>
      <c r="Q64" s="69">
        <v>253050</v>
      </c>
    </row>
    <row r="65" spans="1:17" x14ac:dyDescent="0.2">
      <c r="A65" s="2" t="s">
        <v>200</v>
      </c>
      <c r="B65" s="68">
        <v>45206</v>
      </c>
      <c r="C65" s="2" t="s">
        <v>37</v>
      </c>
      <c r="D65" s="2" t="s">
        <v>43</v>
      </c>
      <c r="E65" s="2" t="s">
        <v>18</v>
      </c>
      <c r="F65" s="2" t="s">
        <v>109</v>
      </c>
      <c r="G65" s="50">
        <v>2850</v>
      </c>
      <c r="H65" s="49">
        <f t="shared" si="0"/>
        <v>42750</v>
      </c>
      <c r="I65" s="2"/>
      <c r="P65" s="70" t="s">
        <v>414</v>
      </c>
      <c r="Q65" s="69">
        <v>124300</v>
      </c>
    </row>
    <row r="66" spans="1:17" x14ac:dyDescent="0.2">
      <c r="A66" s="4" t="s">
        <v>206</v>
      </c>
      <c r="B66" s="68">
        <v>45208</v>
      </c>
      <c r="C66" s="2" t="s">
        <v>37</v>
      </c>
      <c r="D66" s="4" t="s">
        <v>43</v>
      </c>
      <c r="E66" s="2" t="s">
        <v>18</v>
      </c>
      <c r="F66" s="4" t="s">
        <v>44</v>
      </c>
      <c r="G66" s="48">
        <v>5350</v>
      </c>
      <c r="H66" s="49">
        <f t="shared" si="0"/>
        <v>69550</v>
      </c>
      <c r="I66" s="4"/>
    </row>
    <row r="67" spans="1:17" x14ac:dyDescent="0.2">
      <c r="A67" s="2" t="s">
        <v>212</v>
      </c>
      <c r="B67" s="67">
        <v>45233</v>
      </c>
      <c r="C67" s="2" t="s">
        <v>37</v>
      </c>
      <c r="D67" s="2" t="s">
        <v>43</v>
      </c>
      <c r="E67" s="2" t="s">
        <v>18</v>
      </c>
      <c r="F67" s="2" t="s">
        <v>26</v>
      </c>
      <c r="G67" s="50">
        <v>5000</v>
      </c>
      <c r="H67" s="49">
        <f t="shared" ref="H67:H122" si="1">F67*G67</f>
        <v>35000</v>
      </c>
      <c r="I67" s="2"/>
    </row>
    <row r="68" spans="1:17" x14ac:dyDescent="0.2">
      <c r="A68" s="2" t="s">
        <v>185</v>
      </c>
      <c r="B68" s="67">
        <v>45237</v>
      </c>
      <c r="C68" s="2" t="s">
        <v>37</v>
      </c>
      <c r="D68" s="2" t="s">
        <v>43</v>
      </c>
      <c r="E68" s="4" t="s">
        <v>18</v>
      </c>
      <c r="F68" s="2" t="s">
        <v>186</v>
      </c>
      <c r="G68" s="50">
        <v>7000</v>
      </c>
      <c r="H68" s="49">
        <f t="shared" si="1"/>
        <v>315000</v>
      </c>
      <c r="I68" s="2"/>
    </row>
    <row r="69" spans="1:17" x14ac:dyDescent="0.2">
      <c r="A69" s="2" t="s">
        <v>68</v>
      </c>
      <c r="B69" s="68">
        <v>45283</v>
      </c>
      <c r="C69" s="4" t="s">
        <v>37</v>
      </c>
      <c r="D69" s="2" t="s">
        <v>43</v>
      </c>
      <c r="E69" s="4" t="s">
        <v>18</v>
      </c>
      <c r="F69" s="2" t="s">
        <v>70</v>
      </c>
      <c r="G69" s="50">
        <v>5000</v>
      </c>
      <c r="H69" s="49">
        <f t="shared" si="1"/>
        <v>170000</v>
      </c>
      <c r="I69" s="2"/>
    </row>
    <row r="70" spans="1:17" x14ac:dyDescent="0.2">
      <c r="A70" s="2" t="s">
        <v>134</v>
      </c>
      <c r="B70" s="68">
        <v>45285</v>
      </c>
      <c r="C70" s="2" t="s">
        <v>37</v>
      </c>
      <c r="D70" s="2" t="s">
        <v>43</v>
      </c>
      <c r="E70" s="4" t="s">
        <v>18</v>
      </c>
      <c r="F70" s="2" t="s">
        <v>135</v>
      </c>
      <c r="G70" s="50">
        <v>300</v>
      </c>
      <c r="H70" s="49">
        <f t="shared" si="1"/>
        <v>57000</v>
      </c>
      <c r="I70" s="2"/>
    </row>
    <row r="71" spans="1:17" x14ac:dyDescent="0.2">
      <c r="A71" s="2" t="s">
        <v>160</v>
      </c>
      <c r="B71" s="68">
        <v>45286</v>
      </c>
      <c r="C71" s="2" t="s">
        <v>37</v>
      </c>
      <c r="D71" s="2" t="s">
        <v>43</v>
      </c>
      <c r="E71" s="2" t="s">
        <v>29</v>
      </c>
      <c r="F71" s="2" t="s">
        <v>51</v>
      </c>
      <c r="G71" s="50">
        <v>2750</v>
      </c>
      <c r="H71" s="49">
        <f t="shared" si="1"/>
        <v>38500</v>
      </c>
      <c r="I71" s="2"/>
    </row>
    <row r="72" spans="1:17" x14ac:dyDescent="0.2">
      <c r="A72" s="4" t="s">
        <v>166</v>
      </c>
      <c r="B72" s="67">
        <v>45298</v>
      </c>
      <c r="C72" s="4" t="s">
        <v>37</v>
      </c>
      <c r="D72" s="4" t="s">
        <v>43</v>
      </c>
      <c r="E72" s="4" t="s">
        <v>29</v>
      </c>
      <c r="F72" s="4" t="s">
        <v>44</v>
      </c>
      <c r="G72" s="48">
        <v>2950</v>
      </c>
      <c r="H72" s="49">
        <f t="shared" si="1"/>
        <v>38350</v>
      </c>
      <c r="I72" s="4"/>
    </row>
    <row r="73" spans="1:17" x14ac:dyDescent="0.2">
      <c r="A73" s="2" t="s">
        <v>171</v>
      </c>
      <c r="B73" s="67">
        <v>45303</v>
      </c>
      <c r="C73" s="2" t="s">
        <v>37</v>
      </c>
      <c r="D73" s="2" t="s">
        <v>43</v>
      </c>
      <c r="E73" s="2" t="s">
        <v>29</v>
      </c>
      <c r="F73" s="2" t="s">
        <v>31</v>
      </c>
      <c r="G73" s="50">
        <v>2600</v>
      </c>
      <c r="H73" s="49">
        <f t="shared" si="1"/>
        <v>28600</v>
      </c>
      <c r="I73" s="2"/>
    </row>
    <row r="74" spans="1:17" x14ac:dyDescent="0.2">
      <c r="A74" s="4" t="s">
        <v>193</v>
      </c>
      <c r="B74" s="67">
        <v>45313</v>
      </c>
      <c r="C74" s="2" t="s">
        <v>37</v>
      </c>
      <c r="D74" s="4" t="s">
        <v>43</v>
      </c>
      <c r="E74" s="2" t="s">
        <v>29</v>
      </c>
      <c r="F74" s="4" t="s">
        <v>48</v>
      </c>
      <c r="G74" s="48">
        <v>2950</v>
      </c>
      <c r="H74" s="49">
        <f t="shared" si="1"/>
        <v>56050</v>
      </c>
      <c r="I74" s="4"/>
    </row>
    <row r="75" spans="1:17" x14ac:dyDescent="0.2">
      <c r="A75" s="2" t="s">
        <v>81</v>
      </c>
      <c r="B75" s="67">
        <v>45317</v>
      </c>
      <c r="C75" s="4" t="s">
        <v>42</v>
      </c>
      <c r="D75" s="2" t="s">
        <v>28</v>
      </c>
      <c r="E75" s="4" t="s">
        <v>29</v>
      </c>
      <c r="F75" s="2" t="s">
        <v>82</v>
      </c>
      <c r="G75" s="50">
        <v>5200</v>
      </c>
      <c r="H75" s="49">
        <f t="shared" si="1"/>
        <v>223600</v>
      </c>
      <c r="I75" s="2"/>
    </row>
    <row r="76" spans="1:17" x14ac:dyDescent="0.2">
      <c r="A76" s="2" t="s">
        <v>27</v>
      </c>
      <c r="B76" s="68">
        <v>45325</v>
      </c>
      <c r="C76" s="2" t="s">
        <v>42</v>
      </c>
      <c r="D76" s="2" t="s">
        <v>28</v>
      </c>
      <c r="E76" s="4" t="s">
        <v>29</v>
      </c>
      <c r="F76" s="2" t="s">
        <v>15</v>
      </c>
      <c r="G76" s="50">
        <v>4000</v>
      </c>
      <c r="H76" s="49">
        <f t="shared" si="1"/>
        <v>20000</v>
      </c>
      <c r="I76" s="2"/>
    </row>
    <row r="77" spans="1:17" x14ac:dyDescent="0.2">
      <c r="A77" s="4" t="s">
        <v>91</v>
      </c>
      <c r="B77" s="68">
        <v>45327</v>
      </c>
      <c r="C77" s="4" t="s">
        <v>42</v>
      </c>
      <c r="D77" s="4" t="s">
        <v>28</v>
      </c>
      <c r="E77" s="2" t="s">
        <v>29</v>
      </c>
      <c r="F77" s="4" t="s">
        <v>92</v>
      </c>
      <c r="G77" s="48">
        <v>250</v>
      </c>
      <c r="H77" s="49">
        <f t="shared" si="1"/>
        <v>16500</v>
      </c>
      <c r="I77" s="4"/>
    </row>
    <row r="78" spans="1:17" x14ac:dyDescent="0.2">
      <c r="A78" s="4" t="s">
        <v>71</v>
      </c>
      <c r="B78" s="68">
        <v>45332</v>
      </c>
      <c r="C78" s="2" t="s">
        <v>42</v>
      </c>
      <c r="D78" s="4" t="s">
        <v>28</v>
      </c>
      <c r="E78" s="2" t="s">
        <v>29</v>
      </c>
      <c r="F78" s="4" t="s">
        <v>73</v>
      </c>
      <c r="G78" s="48">
        <v>4100</v>
      </c>
      <c r="H78" s="49">
        <f t="shared" si="1"/>
        <v>32800</v>
      </c>
      <c r="I78" s="4"/>
    </row>
    <row r="79" spans="1:17" x14ac:dyDescent="0.2">
      <c r="A79" s="2" t="s">
        <v>58</v>
      </c>
      <c r="B79" s="68">
        <v>45340</v>
      </c>
      <c r="C79" s="2" t="s">
        <v>42</v>
      </c>
      <c r="D79" s="2" t="s">
        <v>28</v>
      </c>
      <c r="E79" s="2" t="s">
        <v>29</v>
      </c>
      <c r="F79" s="2" t="s">
        <v>60</v>
      </c>
      <c r="G79" s="50">
        <v>4750</v>
      </c>
      <c r="H79" s="49">
        <f t="shared" si="1"/>
        <v>223250</v>
      </c>
      <c r="I79" s="2"/>
    </row>
    <row r="80" spans="1:17" x14ac:dyDescent="0.2">
      <c r="A80" s="4" t="s">
        <v>45</v>
      </c>
      <c r="B80" s="68">
        <v>45386</v>
      </c>
      <c r="C80" s="4" t="s">
        <v>42</v>
      </c>
      <c r="D80" s="4" t="s">
        <v>28</v>
      </c>
      <c r="E80" s="4" t="s">
        <v>29</v>
      </c>
      <c r="F80" s="4" t="s">
        <v>46</v>
      </c>
      <c r="G80" s="48">
        <v>2200</v>
      </c>
      <c r="H80" s="49">
        <f t="shared" si="1"/>
        <v>46200</v>
      </c>
      <c r="I80" s="4"/>
    </row>
    <row r="81" spans="1:9" x14ac:dyDescent="0.2">
      <c r="A81" s="2" t="s">
        <v>143</v>
      </c>
      <c r="B81" s="68">
        <v>45390</v>
      </c>
      <c r="C81" s="4" t="s">
        <v>42</v>
      </c>
      <c r="D81" s="2" t="s">
        <v>28</v>
      </c>
      <c r="E81" s="4" t="s">
        <v>29</v>
      </c>
      <c r="F81" s="2" t="s">
        <v>109</v>
      </c>
      <c r="G81" s="50">
        <v>4850</v>
      </c>
      <c r="H81" s="49">
        <f t="shared" si="1"/>
        <v>72750</v>
      </c>
      <c r="I81" s="2"/>
    </row>
    <row r="82" spans="1:9" x14ac:dyDescent="0.2">
      <c r="A82" s="4" t="s">
        <v>161</v>
      </c>
      <c r="B82" s="68">
        <v>45392</v>
      </c>
      <c r="C82" s="2" t="s">
        <v>42</v>
      </c>
      <c r="D82" s="4" t="s">
        <v>28</v>
      </c>
      <c r="E82" s="2" t="s">
        <v>29</v>
      </c>
      <c r="F82" s="4" t="s">
        <v>162</v>
      </c>
      <c r="G82" s="48">
        <v>5700</v>
      </c>
      <c r="H82" s="49">
        <f t="shared" si="1"/>
        <v>176700</v>
      </c>
      <c r="I82" s="4"/>
    </row>
    <row r="83" spans="1:9" x14ac:dyDescent="0.2">
      <c r="A83" s="2" t="s">
        <v>115</v>
      </c>
      <c r="B83" s="68">
        <v>45406</v>
      </c>
      <c r="C83" s="4" t="s">
        <v>42</v>
      </c>
      <c r="D83" s="2" t="s">
        <v>28</v>
      </c>
      <c r="E83" s="4" t="s">
        <v>29</v>
      </c>
      <c r="F83" s="2" t="s">
        <v>116</v>
      </c>
      <c r="G83" s="50">
        <v>5700</v>
      </c>
      <c r="H83" s="49">
        <f t="shared" si="1"/>
        <v>239400</v>
      </c>
      <c r="I83" s="2"/>
    </row>
    <row r="84" spans="1:9" x14ac:dyDescent="0.2">
      <c r="A84" s="4" t="s">
        <v>149</v>
      </c>
      <c r="B84" s="67">
        <v>45415</v>
      </c>
      <c r="C84" s="2" t="s">
        <v>42</v>
      </c>
      <c r="D84" s="4" t="s">
        <v>28</v>
      </c>
      <c r="E84" s="2" t="s">
        <v>29</v>
      </c>
      <c r="F84" s="4" t="s">
        <v>35</v>
      </c>
      <c r="G84" s="48">
        <v>6900</v>
      </c>
      <c r="H84" s="49">
        <f t="shared" si="1"/>
        <v>69000</v>
      </c>
      <c r="I84" s="4"/>
    </row>
    <row r="85" spans="1:9" x14ac:dyDescent="0.2">
      <c r="A85" s="4" t="s">
        <v>136</v>
      </c>
      <c r="B85" s="67">
        <v>45421</v>
      </c>
      <c r="C85" s="4" t="s">
        <v>42</v>
      </c>
      <c r="D85" s="4" t="s">
        <v>28</v>
      </c>
      <c r="E85" s="4" t="s">
        <v>29</v>
      </c>
      <c r="F85" s="4" t="s">
        <v>15</v>
      </c>
      <c r="G85" s="48">
        <v>4950</v>
      </c>
      <c r="H85" s="49">
        <f t="shared" si="1"/>
        <v>24750</v>
      </c>
      <c r="I85" s="4"/>
    </row>
    <row r="86" spans="1:9" x14ac:dyDescent="0.2">
      <c r="A86" s="2" t="s">
        <v>194</v>
      </c>
      <c r="B86" s="67">
        <v>45432</v>
      </c>
      <c r="C86" s="2" t="s">
        <v>42</v>
      </c>
      <c r="D86" s="2" t="s">
        <v>28</v>
      </c>
      <c r="E86" s="2" t="s">
        <v>29</v>
      </c>
      <c r="F86" s="2" t="s">
        <v>195</v>
      </c>
      <c r="G86" s="50">
        <v>6200</v>
      </c>
      <c r="H86" s="49">
        <f t="shared" si="1"/>
        <v>167400</v>
      </c>
      <c r="I86" s="2"/>
    </row>
    <row r="87" spans="1:9" x14ac:dyDescent="0.2">
      <c r="A87" s="4" t="s">
        <v>213</v>
      </c>
      <c r="B87" s="67">
        <v>45440</v>
      </c>
      <c r="C87" s="4" t="s">
        <v>42</v>
      </c>
      <c r="D87" s="4" t="s">
        <v>28</v>
      </c>
      <c r="E87" s="4" t="s">
        <v>29</v>
      </c>
      <c r="F87" s="4" t="s">
        <v>214</v>
      </c>
      <c r="G87" s="48">
        <v>350</v>
      </c>
      <c r="H87" s="49">
        <f t="shared" si="1"/>
        <v>32900</v>
      </c>
      <c r="I87" s="4"/>
    </row>
    <row r="88" spans="1:9" x14ac:dyDescent="0.2">
      <c r="A88" s="2" t="s">
        <v>167</v>
      </c>
      <c r="B88" s="68">
        <v>45451</v>
      </c>
      <c r="C88" s="2" t="s">
        <v>42</v>
      </c>
      <c r="D88" s="2" t="s">
        <v>28</v>
      </c>
      <c r="E88" s="2" t="s">
        <v>29</v>
      </c>
      <c r="F88" s="2" t="s">
        <v>26</v>
      </c>
      <c r="G88" s="50">
        <v>5000</v>
      </c>
      <c r="H88" s="49">
        <f t="shared" si="1"/>
        <v>35000</v>
      </c>
      <c r="I88" s="2"/>
    </row>
    <row r="89" spans="1:9" x14ac:dyDescent="0.2">
      <c r="A89" s="4" t="s">
        <v>201</v>
      </c>
      <c r="B89" s="68">
        <v>45455</v>
      </c>
      <c r="C89" s="2" t="s">
        <v>42</v>
      </c>
      <c r="D89" s="4" t="s">
        <v>28</v>
      </c>
      <c r="E89" s="2" t="s">
        <v>29</v>
      </c>
      <c r="F89" s="4" t="s">
        <v>73</v>
      </c>
      <c r="G89" s="48">
        <v>8450</v>
      </c>
      <c r="H89" s="49">
        <f t="shared" si="1"/>
        <v>67600</v>
      </c>
      <c r="I89" s="4"/>
    </row>
    <row r="90" spans="1:9" x14ac:dyDescent="0.2">
      <c r="A90" s="4" t="s">
        <v>187</v>
      </c>
      <c r="B90" s="68">
        <v>45465</v>
      </c>
      <c r="C90" s="4" t="s">
        <v>42</v>
      </c>
      <c r="D90" s="4" t="s">
        <v>28</v>
      </c>
      <c r="E90" s="4" t="s">
        <v>29</v>
      </c>
      <c r="F90" s="4" t="s">
        <v>35</v>
      </c>
      <c r="G90" s="48">
        <v>8650</v>
      </c>
      <c r="H90" s="49">
        <f t="shared" si="1"/>
        <v>86500</v>
      </c>
      <c r="I90" s="4"/>
    </row>
    <row r="91" spans="1:9" x14ac:dyDescent="0.2">
      <c r="A91" s="4" t="s">
        <v>172</v>
      </c>
      <c r="B91" s="68">
        <v>45511</v>
      </c>
      <c r="C91" s="4" t="s">
        <v>42</v>
      </c>
      <c r="D91" s="4" t="s">
        <v>28</v>
      </c>
      <c r="E91" s="2" t="s">
        <v>29</v>
      </c>
      <c r="F91" s="4">
        <v>5</v>
      </c>
      <c r="G91" s="48">
        <v>7150</v>
      </c>
      <c r="H91" s="49">
        <f t="shared" si="1"/>
        <v>35750</v>
      </c>
      <c r="I91" s="4"/>
    </row>
    <row r="92" spans="1:9" x14ac:dyDescent="0.2">
      <c r="A92" s="2" t="s">
        <v>130</v>
      </c>
      <c r="B92" s="68">
        <v>45515</v>
      </c>
      <c r="C92" s="2" t="s">
        <v>42</v>
      </c>
      <c r="D92" s="2" t="s">
        <v>28</v>
      </c>
      <c r="E92" s="4" t="s">
        <v>29</v>
      </c>
      <c r="F92" s="2" t="s">
        <v>73</v>
      </c>
      <c r="G92" s="50">
        <v>6900</v>
      </c>
      <c r="H92" s="49">
        <f t="shared" si="1"/>
        <v>55200</v>
      </c>
      <c r="I92" s="2"/>
    </row>
    <row r="93" spans="1:9" x14ac:dyDescent="0.2">
      <c r="A93" s="2" t="s">
        <v>179</v>
      </c>
      <c r="B93" s="68">
        <v>45531</v>
      </c>
      <c r="C93" s="4" t="s">
        <v>42</v>
      </c>
      <c r="D93" s="2" t="s">
        <v>28</v>
      </c>
      <c r="E93" s="2" t="s">
        <v>29</v>
      </c>
      <c r="F93" s="2" t="s">
        <v>51</v>
      </c>
      <c r="G93" s="50">
        <v>8100</v>
      </c>
      <c r="H93" s="49">
        <f t="shared" si="1"/>
        <v>113400</v>
      </c>
      <c r="I93" s="2"/>
    </row>
    <row r="94" spans="1:9" x14ac:dyDescent="0.2">
      <c r="A94" s="2" t="s">
        <v>102</v>
      </c>
      <c r="B94" s="67">
        <v>45536</v>
      </c>
      <c r="C94" s="2" t="s">
        <v>42</v>
      </c>
      <c r="D94" s="2" t="s">
        <v>28</v>
      </c>
      <c r="E94" s="4" t="s">
        <v>29</v>
      </c>
      <c r="F94" s="2" t="s">
        <v>103</v>
      </c>
      <c r="G94" s="50">
        <v>2250</v>
      </c>
      <c r="H94" s="49">
        <f t="shared" si="1"/>
        <v>58500</v>
      </c>
      <c r="I94" s="2"/>
    </row>
    <row r="95" spans="1:9" x14ac:dyDescent="0.2">
      <c r="A95" s="2" t="s">
        <v>207</v>
      </c>
      <c r="B95" s="67">
        <v>45560</v>
      </c>
      <c r="C95" s="2" t="s">
        <v>42</v>
      </c>
      <c r="D95" s="2" t="s">
        <v>28</v>
      </c>
      <c r="E95" s="4" t="s">
        <v>29</v>
      </c>
      <c r="F95" s="2" t="s">
        <v>162</v>
      </c>
      <c r="G95" s="50">
        <v>6550</v>
      </c>
      <c r="H95" s="49">
        <f t="shared" si="1"/>
        <v>203050</v>
      </c>
      <c r="I95" s="2"/>
    </row>
    <row r="96" spans="1:9" x14ac:dyDescent="0.2">
      <c r="A96" s="4" t="s">
        <v>110</v>
      </c>
      <c r="B96" s="67">
        <v>45561</v>
      </c>
      <c r="C96" s="4" t="s">
        <v>42</v>
      </c>
      <c r="D96" s="4" t="s">
        <v>28</v>
      </c>
      <c r="E96" s="2" t="s">
        <v>34</v>
      </c>
      <c r="F96" s="4" t="s">
        <v>48</v>
      </c>
      <c r="G96" s="48">
        <v>2100</v>
      </c>
      <c r="H96" s="49">
        <f t="shared" si="1"/>
        <v>39900</v>
      </c>
      <c r="I96" s="4"/>
    </row>
    <row r="97" spans="1:9" x14ac:dyDescent="0.2">
      <c r="A97" s="2" t="s">
        <v>156</v>
      </c>
      <c r="B97" s="68">
        <v>45571</v>
      </c>
      <c r="C97" s="4" t="s">
        <v>42</v>
      </c>
      <c r="D97" s="2" t="s">
        <v>28</v>
      </c>
      <c r="E97" s="4" t="s">
        <v>34</v>
      </c>
      <c r="F97" s="2" t="s">
        <v>87</v>
      </c>
      <c r="G97" s="50">
        <v>2450</v>
      </c>
      <c r="H97" s="49">
        <f t="shared" si="1"/>
        <v>41650</v>
      </c>
      <c r="I97" s="2"/>
    </row>
    <row r="98" spans="1:9" x14ac:dyDescent="0.2">
      <c r="A98" s="4" t="s">
        <v>122</v>
      </c>
      <c r="B98" s="68">
        <v>45589</v>
      </c>
      <c r="C98" s="2" t="s">
        <v>42</v>
      </c>
      <c r="D98" s="4" t="s">
        <v>28</v>
      </c>
      <c r="E98" s="4" t="s">
        <v>34</v>
      </c>
      <c r="F98" s="4" t="s">
        <v>57</v>
      </c>
      <c r="G98" s="48">
        <v>2550</v>
      </c>
      <c r="H98" s="49">
        <f t="shared" si="1"/>
        <v>30600</v>
      </c>
      <c r="I98" s="4"/>
    </row>
    <row r="99" spans="1:9" x14ac:dyDescent="0.2">
      <c r="A99" s="4" t="s">
        <v>157</v>
      </c>
      <c r="B99" s="67">
        <v>44760</v>
      </c>
      <c r="C99" s="2" t="s">
        <v>33</v>
      </c>
      <c r="D99" s="4" t="s">
        <v>13</v>
      </c>
      <c r="E99" s="4" t="s">
        <v>34</v>
      </c>
      <c r="F99" s="4" t="s">
        <v>19</v>
      </c>
      <c r="G99" s="48">
        <v>2450</v>
      </c>
      <c r="H99" s="49">
        <f t="shared" si="1"/>
        <v>58800</v>
      </c>
      <c r="I99" s="4"/>
    </row>
    <row r="100" spans="1:9" x14ac:dyDescent="0.2">
      <c r="A100" s="4" t="s">
        <v>196</v>
      </c>
      <c r="B100" s="67">
        <v>44763</v>
      </c>
      <c r="C100" s="4" t="s">
        <v>33</v>
      </c>
      <c r="D100" s="4" t="s">
        <v>13</v>
      </c>
      <c r="E100" s="2" t="s">
        <v>34</v>
      </c>
      <c r="F100" s="4" t="s">
        <v>197</v>
      </c>
      <c r="G100" s="48">
        <v>350</v>
      </c>
      <c r="H100" s="49">
        <f t="shared" si="1"/>
        <v>46900</v>
      </c>
      <c r="I100" s="4"/>
    </row>
    <row r="101" spans="1:9" x14ac:dyDescent="0.2">
      <c r="A101" s="2" t="s">
        <v>189</v>
      </c>
      <c r="B101" s="67">
        <v>44878</v>
      </c>
      <c r="C101" s="4" t="s">
        <v>33</v>
      </c>
      <c r="D101" s="2" t="s">
        <v>13</v>
      </c>
      <c r="E101" s="2" t="s">
        <v>34</v>
      </c>
      <c r="F101" s="2" t="s">
        <v>190</v>
      </c>
      <c r="G101" s="50">
        <v>350</v>
      </c>
      <c r="H101" s="49">
        <f t="shared" si="1"/>
        <v>39550</v>
      </c>
      <c r="I101" s="2"/>
    </row>
    <row r="102" spans="1:9" x14ac:dyDescent="0.2">
      <c r="A102" s="2" t="s">
        <v>93</v>
      </c>
      <c r="B102" s="67">
        <v>44881</v>
      </c>
      <c r="C102" s="2" t="s">
        <v>33</v>
      </c>
      <c r="D102" s="2" t="s">
        <v>13</v>
      </c>
      <c r="E102" s="4" t="s">
        <v>34</v>
      </c>
      <c r="F102" s="2" t="s">
        <v>95</v>
      </c>
      <c r="G102" s="50">
        <v>250</v>
      </c>
      <c r="H102" s="49">
        <f t="shared" si="1"/>
        <v>46250</v>
      </c>
      <c r="I102" s="2"/>
    </row>
    <row r="103" spans="1:9" x14ac:dyDescent="0.2">
      <c r="A103" s="2" t="s">
        <v>150</v>
      </c>
      <c r="B103" s="67">
        <v>44882</v>
      </c>
      <c r="C103" s="4" t="s">
        <v>33</v>
      </c>
      <c r="D103" s="2" t="s">
        <v>13</v>
      </c>
      <c r="E103" s="4" t="s">
        <v>34</v>
      </c>
      <c r="F103" s="2" t="s">
        <v>141</v>
      </c>
      <c r="G103" s="50">
        <v>5600</v>
      </c>
      <c r="H103" s="49">
        <f t="shared" si="1"/>
        <v>179200</v>
      </c>
      <c r="I103" s="2"/>
    </row>
    <row r="104" spans="1:9" x14ac:dyDescent="0.2">
      <c r="A104" s="2" t="s">
        <v>111</v>
      </c>
      <c r="B104" s="67">
        <v>45009</v>
      </c>
      <c r="C104" s="4" t="s">
        <v>33</v>
      </c>
      <c r="D104" s="2" t="s">
        <v>13</v>
      </c>
      <c r="E104" s="2" t="s">
        <v>34</v>
      </c>
      <c r="F104" s="2" t="s">
        <v>23</v>
      </c>
      <c r="G104" s="50">
        <v>4350</v>
      </c>
      <c r="H104" s="49">
        <f t="shared" si="1"/>
        <v>26100</v>
      </c>
      <c r="I104" s="2"/>
    </row>
    <row r="105" spans="1:9" x14ac:dyDescent="0.2">
      <c r="A105" s="4" t="s">
        <v>131</v>
      </c>
      <c r="B105" s="67">
        <v>45013</v>
      </c>
      <c r="C105" s="4" t="s">
        <v>33</v>
      </c>
      <c r="D105" s="4" t="s">
        <v>13</v>
      </c>
      <c r="E105" s="4" t="s">
        <v>34</v>
      </c>
      <c r="F105" s="4" t="s">
        <v>44</v>
      </c>
      <c r="G105" s="48">
        <v>2450</v>
      </c>
      <c r="H105" s="49">
        <f t="shared" si="1"/>
        <v>31850</v>
      </c>
      <c r="I105" s="4"/>
    </row>
    <row r="106" spans="1:9" x14ac:dyDescent="0.2">
      <c r="A106" s="2" t="s">
        <v>163</v>
      </c>
      <c r="B106" s="67">
        <v>45126</v>
      </c>
      <c r="C106" s="4" t="s">
        <v>33</v>
      </c>
      <c r="D106" s="2" t="s">
        <v>13</v>
      </c>
      <c r="E106" s="4" t="s">
        <v>34</v>
      </c>
      <c r="F106" s="2" t="s">
        <v>90</v>
      </c>
      <c r="G106" s="50">
        <v>5350</v>
      </c>
      <c r="H106" s="49">
        <f t="shared" si="1"/>
        <v>48150</v>
      </c>
      <c r="I106" s="2"/>
    </row>
    <row r="107" spans="1:9" x14ac:dyDescent="0.2">
      <c r="A107" s="4" t="s">
        <v>180</v>
      </c>
      <c r="B107" s="67">
        <v>45128</v>
      </c>
      <c r="C107" s="4" t="s">
        <v>33</v>
      </c>
      <c r="D107" s="4" t="s">
        <v>13</v>
      </c>
      <c r="E107" s="2" t="s">
        <v>34</v>
      </c>
      <c r="F107" s="4" t="s">
        <v>181</v>
      </c>
      <c r="G107" s="48">
        <v>7950</v>
      </c>
      <c r="H107" s="49">
        <f t="shared" si="1"/>
        <v>127200</v>
      </c>
      <c r="I107" s="4"/>
    </row>
    <row r="108" spans="1:9" x14ac:dyDescent="0.2">
      <c r="A108" s="4" t="s">
        <v>208</v>
      </c>
      <c r="B108" s="67">
        <v>45243</v>
      </c>
      <c r="C108" s="2" t="s">
        <v>33</v>
      </c>
      <c r="D108" s="4" t="s">
        <v>13</v>
      </c>
      <c r="E108" s="2" t="s">
        <v>34</v>
      </c>
      <c r="F108" s="4" t="s">
        <v>145</v>
      </c>
      <c r="G108" s="48">
        <v>2750</v>
      </c>
      <c r="H108" s="49">
        <f t="shared" si="1"/>
        <v>79750</v>
      </c>
      <c r="I108" s="4"/>
    </row>
    <row r="109" spans="1:9" x14ac:dyDescent="0.2">
      <c r="A109" s="2" t="s">
        <v>123</v>
      </c>
      <c r="B109" s="67">
        <v>45254</v>
      </c>
      <c r="C109" s="4" t="s">
        <v>33</v>
      </c>
      <c r="D109" s="2" t="s">
        <v>13</v>
      </c>
      <c r="E109" s="2" t="s">
        <v>34</v>
      </c>
      <c r="F109" s="2" t="s">
        <v>124</v>
      </c>
      <c r="G109" s="50">
        <v>300</v>
      </c>
      <c r="H109" s="49">
        <f t="shared" si="1"/>
        <v>31200</v>
      </c>
      <c r="I109" s="2"/>
    </row>
    <row r="110" spans="1:9" x14ac:dyDescent="0.2">
      <c r="A110" s="2" t="s">
        <v>74</v>
      </c>
      <c r="B110" s="67">
        <v>45364</v>
      </c>
      <c r="C110" s="2" t="s">
        <v>33</v>
      </c>
      <c r="D110" s="2" t="s">
        <v>13</v>
      </c>
      <c r="E110" s="2" t="s">
        <v>34</v>
      </c>
      <c r="F110" s="2" t="s">
        <v>57</v>
      </c>
      <c r="G110" s="50">
        <v>6750</v>
      </c>
      <c r="H110" s="49">
        <f t="shared" si="1"/>
        <v>81000</v>
      </c>
      <c r="I110" s="2"/>
    </row>
    <row r="111" spans="1:9" x14ac:dyDescent="0.2">
      <c r="A111" s="4" t="s">
        <v>104</v>
      </c>
      <c r="B111" s="67">
        <v>45373</v>
      </c>
      <c r="C111" s="2" t="s">
        <v>33</v>
      </c>
      <c r="D111" s="4" t="s">
        <v>13</v>
      </c>
      <c r="E111" s="2" t="s">
        <v>34</v>
      </c>
      <c r="F111" s="4" t="s">
        <v>51</v>
      </c>
      <c r="G111" s="48">
        <v>6750</v>
      </c>
      <c r="H111" s="49">
        <f t="shared" si="1"/>
        <v>94500</v>
      </c>
      <c r="I111" s="4"/>
    </row>
    <row r="112" spans="1:9" x14ac:dyDescent="0.2">
      <c r="A112" s="4" t="s">
        <v>144</v>
      </c>
      <c r="B112" s="67">
        <v>45377</v>
      </c>
      <c r="C112" s="4" t="s">
        <v>33</v>
      </c>
      <c r="D112" s="4" t="s">
        <v>13</v>
      </c>
      <c r="E112" s="4" t="s">
        <v>34</v>
      </c>
      <c r="F112" s="4" t="s">
        <v>145</v>
      </c>
      <c r="G112" s="48">
        <v>5600</v>
      </c>
      <c r="H112" s="49">
        <f t="shared" si="1"/>
        <v>162400</v>
      </c>
      <c r="I112" s="4"/>
    </row>
    <row r="113" spans="1:9" x14ac:dyDescent="0.2">
      <c r="A113" s="4" t="s">
        <v>117</v>
      </c>
      <c r="B113" s="67">
        <v>45487</v>
      </c>
      <c r="C113" s="2" t="s">
        <v>33</v>
      </c>
      <c r="D113" s="4" t="s">
        <v>13</v>
      </c>
      <c r="E113" s="4" t="s">
        <v>34</v>
      </c>
      <c r="F113" s="4" t="s">
        <v>19</v>
      </c>
      <c r="G113" s="48">
        <v>2750</v>
      </c>
      <c r="H113" s="49">
        <f t="shared" si="1"/>
        <v>66000</v>
      </c>
      <c r="I113" s="4"/>
    </row>
    <row r="114" spans="1:9" x14ac:dyDescent="0.2">
      <c r="A114" s="2" t="s">
        <v>137</v>
      </c>
      <c r="B114" s="67">
        <v>45490</v>
      </c>
      <c r="C114" s="4" t="s">
        <v>33</v>
      </c>
      <c r="D114" s="2" t="s">
        <v>13</v>
      </c>
      <c r="E114" s="2" t="s">
        <v>34</v>
      </c>
      <c r="F114" s="2" t="s">
        <v>138</v>
      </c>
      <c r="G114" s="50">
        <v>5800</v>
      </c>
      <c r="H114" s="49">
        <f t="shared" si="1"/>
        <v>145000</v>
      </c>
      <c r="I114" s="2"/>
    </row>
    <row r="115" spans="1:9" x14ac:dyDescent="0.2">
      <c r="A115" s="4" t="s">
        <v>168</v>
      </c>
      <c r="B115" s="67">
        <v>45501</v>
      </c>
      <c r="C115" s="2" t="s">
        <v>33</v>
      </c>
      <c r="D115" s="4" t="s">
        <v>13</v>
      </c>
      <c r="E115" s="2" t="s">
        <v>34</v>
      </c>
      <c r="F115" s="4" t="s">
        <v>116</v>
      </c>
      <c r="G115" s="48">
        <v>6550</v>
      </c>
      <c r="H115" s="49">
        <f t="shared" si="1"/>
        <v>275100</v>
      </c>
      <c r="I115" s="4"/>
    </row>
    <row r="116" spans="1:9" x14ac:dyDescent="0.2">
      <c r="A116" s="2" t="s">
        <v>10</v>
      </c>
      <c r="B116" s="68">
        <v>45593</v>
      </c>
      <c r="C116" s="2" t="s">
        <v>33</v>
      </c>
      <c r="D116" s="2" t="s">
        <v>13</v>
      </c>
      <c r="E116" s="2" t="s">
        <v>34</v>
      </c>
      <c r="F116" s="2" t="s">
        <v>15</v>
      </c>
      <c r="G116" s="50">
        <v>6650</v>
      </c>
      <c r="H116" s="49">
        <f t="shared" si="1"/>
        <v>33250</v>
      </c>
      <c r="I116" s="2"/>
    </row>
    <row r="117" spans="1:9" x14ac:dyDescent="0.2">
      <c r="A117" s="2" t="s">
        <v>202</v>
      </c>
      <c r="B117" s="67">
        <v>45611</v>
      </c>
      <c r="C117" s="2" t="s">
        <v>33</v>
      </c>
      <c r="D117" s="2" t="s">
        <v>13</v>
      </c>
      <c r="E117" s="2" t="s">
        <v>34</v>
      </c>
      <c r="F117" s="2" t="s">
        <v>203</v>
      </c>
      <c r="G117" s="50">
        <v>2850</v>
      </c>
      <c r="H117" s="49">
        <f t="shared" si="1"/>
        <v>65550</v>
      </c>
      <c r="I117" s="2"/>
    </row>
    <row r="118" spans="1:9" x14ac:dyDescent="0.2">
      <c r="A118" s="2" t="s">
        <v>47</v>
      </c>
      <c r="B118" s="67">
        <v>45614</v>
      </c>
      <c r="C118" s="4" t="s">
        <v>33</v>
      </c>
      <c r="D118" s="2" t="s">
        <v>13</v>
      </c>
      <c r="E118" s="4" t="s">
        <v>34</v>
      </c>
      <c r="F118" s="2" t="s">
        <v>48</v>
      </c>
      <c r="G118" s="50">
        <v>6350</v>
      </c>
      <c r="H118" s="49">
        <f t="shared" si="1"/>
        <v>120650</v>
      </c>
      <c r="I118" s="2"/>
    </row>
    <row r="119" spans="1:9" x14ac:dyDescent="0.2">
      <c r="A119" s="2" t="s">
        <v>173</v>
      </c>
      <c r="B119" s="67">
        <v>45618</v>
      </c>
      <c r="C119" s="4" t="s">
        <v>33</v>
      </c>
      <c r="D119" s="2" t="s">
        <v>13</v>
      </c>
      <c r="E119" s="2" t="s">
        <v>34</v>
      </c>
      <c r="F119" s="2" t="s">
        <v>175</v>
      </c>
      <c r="G119" s="50">
        <v>350</v>
      </c>
      <c r="H119" s="49">
        <f t="shared" si="1"/>
        <v>66850</v>
      </c>
      <c r="I119" s="2"/>
    </row>
    <row r="120" spans="1:9" x14ac:dyDescent="0.2">
      <c r="A120" s="4" t="s">
        <v>83</v>
      </c>
      <c r="B120" s="68">
        <v>45649</v>
      </c>
      <c r="C120" s="2" t="s">
        <v>33</v>
      </c>
      <c r="D120" s="4" t="s">
        <v>13</v>
      </c>
      <c r="E120" s="4" t="s">
        <v>34</v>
      </c>
      <c r="F120" s="4" t="s">
        <v>31</v>
      </c>
      <c r="G120" s="48">
        <v>4250</v>
      </c>
      <c r="H120" s="49">
        <f t="shared" si="1"/>
        <v>46750</v>
      </c>
      <c r="I120" s="4"/>
    </row>
    <row r="121" spans="1:9" x14ac:dyDescent="0.2">
      <c r="A121" s="4" t="s">
        <v>61</v>
      </c>
      <c r="B121" s="68">
        <v>45654</v>
      </c>
      <c r="C121" s="2" t="s">
        <v>33</v>
      </c>
      <c r="D121" s="4" t="s">
        <v>13</v>
      </c>
      <c r="E121" s="2" t="s">
        <v>34</v>
      </c>
      <c r="F121" s="4" t="s">
        <v>63</v>
      </c>
      <c r="G121" s="48">
        <v>250</v>
      </c>
      <c r="H121" s="49">
        <f t="shared" si="1"/>
        <v>35750</v>
      </c>
      <c r="I121" s="4"/>
    </row>
    <row r="122" spans="1:9" x14ac:dyDescent="0.2">
      <c r="A122" s="4" t="s">
        <v>30</v>
      </c>
      <c r="B122" s="68">
        <v>45654</v>
      </c>
      <c r="C122" s="2" t="s">
        <v>33</v>
      </c>
      <c r="D122" s="4" t="s">
        <v>13</v>
      </c>
      <c r="E122" s="4" t="s">
        <v>34</v>
      </c>
      <c r="F122" s="4" t="s">
        <v>31</v>
      </c>
      <c r="G122" s="48">
        <v>3800</v>
      </c>
      <c r="H122" s="49">
        <f t="shared" si="1"/>
        <v>41800</v>
      </c>
      <c r="I122" s="4"/>
    </row>
  </sheetData>
  <mergeCells count="1">
    <mergeCell ref="A1:I1"/>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zoomScaleNormal="100" workbookViewId="0">
      <pane ySplit="3" topLeftCell="A4" activePane="bottomLeft" state="frozen"/>
      <selection pane="bottomLeft" activeCell="D21" sqref="D21"/>
    </sheetView>
  </sheetViews>
  <sheetFormatPr baseColWidth="10" defaultColWidth="8.6640625" defaultRowHeight="15" x14ac:dyDescent="0.2"/>
  <cols>
    <col min="1" max="1" width="12" customWidth="1"/>
    <col min="2" max="2" width="30" customWidth="1"/>
    <col min="3" max="3" width="18" customWidth="1"/>
    <col min="4" max="9" width="15" customWidth="1"/>
  </cols>
  <sheetData>
    <row r="1" spans="1:9" ht="21.75" customHeight="1" x14ac:dyDescent="0.2">
      <c r="A1" s="85" t="s">
        <v>232</v>
      </c>
      <c r="B1" s="85"/>
      <c r="C1" s="85"/>
      <c r="D1" s="85"/>
      <c r="E1" s="85"/>
      <c r="F1" s="85"/>
      <c r="G1" s="85"/>
      <c r="H1" s="85"/>
      <c r="I1" s="85"/>
    </row>
    <row r="2" spans="1:9" ht="15.75" customHeight="1" x14ac:dyDescent="0.2">
      <c r="A2" s="89" t="s">
        <v>233</v>
      </c>
      <c r="B2" s="89"/>
      <c r="C2" s="89"/>
      <c r="D2" s="89"/>
      <c r="E2" s="89"/>
      <c r="F2" s="89"/>
      <c r="G2" s="89"/>
      <c r="H2" s="89"/>
      <c r="I2" s="89"/>
    </row>
    <row r="3" spans="1:9" ht="30" customHeight="1" x14ac:dyDescent="0.2">
      <c r="A3" s="1" t="s">
        <v>234</v>
      </c>
      <c r="B3" s="1" t="s">
        <v>235</v>
      </c>
      <c r="C3" s="1" t="s">
        <v>217</v>
      </c>
      <c r="D3" s="1" t="s">
        <v>236</v>
      </c>
      <c r="E3" s="1" t="s">
        <v>237</v>
      </c>
      <c r="F3" s="1" t="s">
        <v>238</v>
      </c>
      <c r="G3" s="1" t="s">
        <v>239</v>
      </c>
      <c r="H3" s="1" t="s">
        <v>240</v>
      </c>
      <c r="I3" s="1" t="s">
        <v>241</v>
      </c>
    </row>
    <row r="4" spans="1:9" ht="15" customHeight="1" x14ac:dyDescent="0.2">
      <c r="A4" s="2" t="s">
        <v>242</v>
      </c>
      <c r="B4" s="2" t="s">
        <v>243</v>
      </c>
      <c r="C4" s="2" t="s">
        <v>244</v>
      </c>
      <c r="D4" s="12">
        <v>2079012</v>
      </c>
      <c r="E4" s="12">
        <v>0</v>
      </c>
      <c r="F4" s="12">
        <v>2634935</v>
      </c>
      <c r="G4" s="12">
        <v>0</v>
      </c>
      <c r="H4" s="12">
        <v>3804402</v>
      </c>
      <c r="I4" s="12">
        <v>0</v>
      </c>
    </row>
    <row r="5" spans="1:9" ht="15" customHeight="1" x14ac:dyDescent="0.2">
      <c r="A5" s="2" t="s">
        <v>245</v>
      </c>
      <c r="B5" s="2" t="s">
        <v>246</v>
      </c>
      <c r="C5" s="2" t="s">
        <v>244</v>
      </c>
      <c r="D5" s="12">
        <v>387660</v>
      </c>
      <c r="E5" s="12">
        <v>0</v>
      </c>
      <c r="F5" s="12">
        <v>445380</v>
      </c>
      <c r="G5" s="12">
        <v>0</v>
      </c>
      <c r="H5" s="12">
        <v>503750</v>
      </c>
      <c r="I5" s="12">
        <v>0</v>
      </c>
    </row>
    <row r="6" spans="1:9" ht="15" customHeight="1" x14ac:dyDescent="0.2">
      <c r="A6" s="2" t="s">
        <v>247</v>
      </c>
      <c r="B6" s="2" t="s">
        <v>248</v>
      </c>
      <c r="C6" s="2" t="s">
        <v>244</v>
      </c>
      <c r="D6" s="12">
        <v>267228</v>
      </c>
      <c r="E6" s="12">
        <v>0</v>
      </c>
      <c r="F6" s="12">
        <v>308225</v>
      </c>
      <c r="G6" s="12">
        <v>0</v>
      </c>
      <c r="H6" s="12">
        <v>346788</v>
      </c>
      <c r="I6" s="12">
        <v>0</v>
      </c>
    </row>
    <row r="7" spans="1:9" ht="15" customHeight="1" x14ac:dyDescent="0.2">
      <c r="A7" s="2" t="s">
        <v>249</v>
      </c>
      <c r="B7" s="2" t="s">
        <v>250</v>
      </c>
      <c r="C7" s="2" t="s">
        <v>244</v>
      </c>
      <c r="D7" s="12">
        <v>512500</v>
      </c>
      <c r="E7" s="12">
        <v>0</v>
      </c>
      <c r="F7" s="12">
        <v>735000</v>
      </c>
      <c r="G7" s="12">
        <v>0</v>
      </c>
      <c r="H7" s="12">
        <v>751080</v>
      </c>
      <c r="I7" s="12">
        <v>0</v>
      </c>
    </row>
    <row r="8" spans="1:9" ht="15" customHeight="1" x14ac:dyDescent="0.2">
      <c r="A8" s="13" t="s">
        <v>251</v>
      </c>
      <c r="B8" s="13" t="s">
        <v>252</v>
      </c>
      <c r="C8" s="13" t="s">
        <v>253</v>
      </c>
      <c r="D8" s="14">
        <v>0</v>
      </c>
      <c r="E8" s="14">
        <v>285000</v>
      </c>
      <c r="F8" s="14">
        <v>0</v>
      </c>
      <c r="G8" s="14">
        <v>342000</v>
      </c>
      <c r="H8" s="14">
        <v>0</v>
      </c>
      <c r="I8" s="14">
        <v>398000</v>
      </c>
    </row>
    <row r="9" spans="1:9" ht="15" customHeight="1" x14ac:dyDescent="0.2">
      <c r="A9" s="13" t="s">
        <v>254</v>
      </c>
      <c r="B9" s="13" t="s">
        <v>255</v>
      </c>
      <c r="C9" s="13" t="s">
        <v>253</v>
      </c>
      <c r="D9" s="14">
        <v>0</v>
      </c>
      <c r="E9" s="14">
        <v>320000</v>
      </c>
      <c r="F9" s="14">
        <v>0</v>
      </c>
      <c r="G9" s="14">
        <v>380000</v>
      </c>
      <c r="H9" s="14">
        <v>0</v>
      </c>
      <c r="I9" s="14">
        <v>755000</v>
      </c>
    </row>
    <row r="10" spans="1:9" ht="15" customHeight="1" x14ac:dyDescent="0.2">
      <c r="A10" s="15" t="s">
        <v>256</v>
      </c>
      <c r="B10" s="15" t="s">
        <v>257</v>
      </c>
      <c r="C10" s="15" t="s">
        <v>258</v>
      </c>
      <c r="D10" s="16">
        <v>0</v>
      </c>
      <c r="E10" s="16">
        <v>2000000</v>
      </c>
      <c r="F10" s="16">
        <v>0</v>
      </c>
      <c r="G10" s="16">
        <v>2000000</v>
      </c>
      <c r="H10" s="16">
        <v>0</v>
      </c>
      <c r="I10" s="16">
        <v>2000000</v>
      </c>
    </row>
    <row r="11" spans="1:9" ht="15" customHeight="1" x14ac:dyDescent="0.2">
      <c r="A11" s="15" t="s">
        <v>259</v>
      </c>
      <c r="B11" s="15" t="s">
        <v>260</v>
      </c>
      <c r="C11" s="15" t="s">
        <v>258</v>
      </c>
      <c r="D11" s="16">
        <v>0</v>
      </c>
      <c r="E11" s="16">
        <v>0</v>
      </c>
      <c r="F11" s="16">
        <v>0</v>
      </c>
      <c r="G11" s="16">
        <v>641400</v>
      </c>
      <c r="H11" s="16">
        <v>0</v>
      </c>
      <c r="I11" s="16">
        <v>1401540</v>
      </c>
    </row>
    <row r="12" spans="1:9" ht="15" customHeight="1" x14ac:dyDescent="0.2">
      <c r="A12" s="17" t="s">
        <v>261</v>
      </c>
      <c r="B12" s="17" t="s">
        <v>262</v>
      </c>
      <c r="C12" s="17" t="s">
        <v>263</v>
      </c>
      <c r="D12" s="18">
        <v>0</v>
      </c>
      <c r="E12" s="18">
        <v>2855000</v>
      </c>
      <c r="F12" s="18">
        <v>0</v>
      </c>
      <c r="G12" s="18">
        <v>3293000</v>
      </c>
      <c r="H12" s="18">
        <v>0</v>
      </c>
      <c r="I12" s="18">
        <v>3705000</v>
      </c>
    </row>
    <row r="13" spans="1:9" ht="15" customHeight="1" x14ac:dyDescent="0.2">
      <c r="A13" s="17" t="s">
        <v>264</v>
      </c>
      <c r="B13" s="17" t="s">
        <v>265</v>
      </c>
      <c r="C13" s="17" t="s">
        <v>263</v>
      </c>
      <c r="D13" s="18">
        <v>0</v>
      </c>
      <c r="E13" s="18">
        <v>127000</v>
      </c>
      <c r="F13" s="18">
        <v>0</v>
      </c>
      <c r="G13" s="18">
        <v>133000</v>
      </c>
      <c r="H13" s="18">
        <v>0</v>
      </c>
      <c r="I13" s="18">
        <v>170000</v>
      </c>
    </row>
    <row r="14" spans="1:9" ht="15" customHeight="1" x14ac:dyDescent="0.2">
      <c r="A14" s="19" t="s">
        <v>266</v>
      </c>
      <c r="B14" s="19" t="s">
        <v>267</v>
      </c>
      <c r="C14" s="19" t="s">
        <v>268</v>
      </c>
      <c r="D14" s="20">
        <v>1484600</v>
      </c>
      <c r="E14" s="20">
        <v>0</v>
      </c>
      <c r="F14" s="20">
        <v>1712360</v>
      </c>
      <c r="G14" s="20">
        <v>0</v>
      </c>
      <c r="H14" s="20">
        <v>1926600</v>
      </c>
      <c r="I14" s="20">
        <v>0</v>
      </c>
    </row>
    <row r="15" spans="1:9" ht="15" customHeight="1" x14ac:dyDescent="0.2">
      <c r="A15" s="19" t="s">
        <v>269</v>
      </c>
      <c r="B15" s="19" t="s">
        <v>270</v>
      </c>
      <c r="C15" s="19" t="s">
        <v>271</v>
      </c>
      <c r="D15" s="20">
        <v>480000</v>
      </c>
      <c r="E15" s="20">
        <v>0</v>
      </c>
      <c r="F15" s="20">
        <v>516000</v>
      </c>
      <c r="G15" s="20">
        <v>0</v>
      </c>
      <c r="H15" s="20">
        <v>558000</v>
      </c>
      <c r="I15" s="20">
        <v>0</v>
      </c>
    </row>
    <row r="16" spans="1:9" ht="15" customHeight="1" x14ac:dyDescent="0.2">
      <c r="A16" s="19" t="s">
        <v>272</v>
      </c>
      <c r="B16" s="19" t="s">
        <v>273</v>
      </c>
      <c r="C16" s="19" t="s">
        <v>271</v>
      </c>
      <c r="D16" s="20">
        <v>195000</v>
      </c>
      <c r="E16" s="20">
        <v>0</v>
      </c>
      <c r="F16" s="20">
        <v>210000</v>
      </c>
      <c r="G16" s="20">
        <v>0</v>
      </c>
      <c r="H16" s="20">
        <v>225000</v>
      </c>
      <c r="I16" s="20">
        <v>0</v>
      </c>
    </row>
    <row r="17" spans="1:9" ht="15" customHeight="1" x14ac:dyDescent="0.2">
      <c r="A17" s="19" t="s">
        <v>274</v>
      </c>
      <c r="B17" s="19" t="s">
        <v>275</v>
      </c>
      <c r="C17" s="19" t="s">
        <v>271</v>
      </c>
      <c r="D17" s="20">
        <v>42000</v>
      </c>
      <c r="E17" s="20">
        <v>0</v>
      </c>
      <c r="F17" s="20">
        <v>46000</v>
      </c>
      <c r="G17" s="20">
        <v>0</v>
      </c>
      <c r="H17" s="20">
        <v>51000</v>
      </c>
      <c r="I17" s="20">
        <v>0</v>
      </c>
    </row>
    <row r="18" spans="1:9" ht="15" customHeight="1" x14ac:dyDescent="0.2">
      <c r="A18" s="19" t="s">
        <v>276</v>
      </c>
      <c r="B18" s="19" t="s">
        <v>277</v>
      </c>
      <c r="C18" s="19" t="s">
        <v>271</v>
      </c>
      <c r="D18" s="20">
        <v>38000</v>
      </c>
      <c r="E18" s="20">
        <v>0</v>
      </c>
      <c r="F18" s="20">
        <v>45000</v>
      </c>
      <c r="G18" s="20">
        <v>0</v>
      </c>
      <c r="H18" s="20">
        <v>55000</v>
      </c>
      <c r="I18" s="20">
        <v>0</v>
      </c>
    </row>
    <row r="19" spans="1:9" ht="15" customHeight="1" x14ac:dyDescent="0.2">
      <c r="A19" s="19" t="s">
        <v>278</v>
      </c>
      <c r="B19" s="19" t="s">
        <v>279</v>
      </c>
      <c r="C19" s="19" t="s">
        <v>271</v>
      </c>
      <c r="D19" s="20">
        <v>67500</v>
      </c>
      <c r="E19" s="20">
        <v>0</v>
      </c>
      <c r="F19" s="20">
        <v>97500</v>
      </c>
      <c r="G19" s="20">
        <v>0</v>
      </c>
      <c r="H19" s="20">
        <v>163920</v>
      </c>
      <c r="I19" s="20">
        <v>0</v>
      </c>
    </row>
    <row r="20" spans="1:9" ht="15" customHeight="1" x14ac:dyDescent="0.2">
      <c r="A20" s="19" t="s">
        <v>280</v>
      </c>
      <c r="B20" s="19" t="s">
        <v>281</v>
      </c>
      <c r="C20" s="19" t="s">
        <v>271</v>
      </c>
      <c r="D20" s="20">
        <v>18500</v>
      </c>
      <c r="E20" s="20">
        <v>0</v>
      </c>
      <c r="F20" s="20">
        <v>22000</v>
      </c>
      <c r="G20" s="20">
        <v>0</v>
      </c>
      <c r="H20" s="20">
        <v>25000</v>
      </c>
      <c r="I20" s="20">
        <v>0</v>
      </c>
    </row>
    <row r="21" spans="1:9" ht="15" customHeight="1" x14ac:dyDescent="0.2">
      <c r="A21" s="19" t="s">
        <v>282</v>
      </c>
      <c r="B21" s="19" t="s">
        <v>283</v>
      </c>
      <c r="C21" s="19" t="s">
        <v>271</v>
      </c>
      <c r="D21" s="20">
        <v>15000</v>
      </c>
      <c r="E21" s="20">
        <v>0</v>
      </c>
      <c r="F21" s="20">
        <v>17000</v>
      </c>
      <c r="G21" s="20">
        <v>0</v>
      </c>
      <c r="H21" s="20">
        <v>19000</v>
      </c>
      <c r="I21" s="20">
        <v>0</v>
      </c>
    </row>
    <row r="22" spans="1:9" ht="15" customHeight="1" x14ac:dyDescent="0.2">
      <c r="A22" s="21"/>
      <c r="B22" s="21" t="s">
        <v>284</v>
      </c>
      <c r="C22" s="21"/>
      <c r="D22" s="22">
        <f t="shared" ref="D22:I22" si="0">SUM(D4:D21)</f>
        <v>5587000</v>
      </c>
      <c r="E22" s="22">
        <f t="shared" si="0"/>
        <v>5587000</v>
      </c>
      <c r="F22" s="22">
        <f t="shared" si="0"/>
        <v>6789400</v>
      </c>
      <c r="G22" s="22">
        <f t="shared" si="0"/>
        <v>6789400</v>
      </c>
      <c r="H22" s="22">
        <f t="shared" si="0"/>
        <v>8429540</v>
      </c>
      <c r="I22" s="22">
        <f t="shared" si="0"/>
        <v>8429540</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89DD-035F-9C42-A780-CFAA71D24CFD}">
  <dimension ref="A1:J15"/>
  <sheetViews>
    <sheetView showZeros="0" zoomScale="90" zoomScaleNormal="90" workbookViewId="0">
      <selection activeCell="E10" sqref="E10"/>
    </sheetView>
  </sheetViews>
  <sheetFormatPr baseColWidth="10" defaultColWidth="11.5" defaultRowHeight="15" x14ac:dyDescent="0.2"/>
  <cols>
    <col min="1" max="1" width="26.1640625" bestFit="1" customWidth="1"/>
    <col min="2" max="2" width="20.33203125" bestFit="1" customWidth="1"/>
    <col min="3" max="3" width="13.33203125" customWidth="1"/>
    <col min="4" max="4" width="10.83203125" customWidth="1"/>
    <col min="5" max="5" width="13" customWidth="1"/>
    <col min="6" max="6" width="10" customWidth="1"/>
    <col min="7" max="7" width="12.5" bestFit="1" customWidth="1"/>
  </cols>
  <sheetData>
    <row r="1" spans="1:10" x14ac:dyDescent="0.2">
      <c r="C1" s="54">
        <v>2022</v>
      </c>
      <c r="D1" s="55">
        <v>20.22</v>
      </c>
      <c r="E1" s="54">
        <v>2023</v>
      </c>
      <c r="F1" s="55">
        <v>20.23</v>
      </c>
      <c r="G1" s="54">
        <v>2024</v>
      </c>
      <c r="H1" s="55">
        <v>20.239999999999998</v>
      </c>
    </row>
    <row r="2" spans="1:10" s="53" customFormat="1" x14ac:dyDescent="0.2">
      <c r="A2" s="56" t="s">
        <v>397</v>
      </c>
      <c r="C2" s="57">
        <f>'Trial Balance'!E12+'Trial Balance'!E13</f>
        <v>2982000</v>
      </c>
      <c r="D2" s="64">
        <f>C2/$C$2</f>
        <v>1</v>
      </c>
      <c r="E2" s="57">
        <f>'Trial Balance'!G12+'Trial Balance'!G13</f>
        <v>3426000</v>
      </c>
      <c r="F2" s="64">
        <f>E2/$E$2</f>
        <v>1</v>
      </c>
      <c r="G2" s="57">
        <f>'Trial Balance'!I12+'Trial Balance'!I13</f>
        <v>3875000</v>
      </c>
      <c r="H2" s="64">
        <f>G2/$G$2</f>
        <v>1</v>
      </c>
      <c r="J2" s="65"/>
    </row>
    <row r="3" spans="1:10" x14ac:dyDescent="0.2">
      <c r="A3" t="s">
        <v>267</v>
      </c>
      <c r="C3" s="57">
        <f>'Trial Balance'!D14</f>
        <v>1484600</v>
      </c>
      <c r="D3" s="64">
        <f t="shared" ref="D3:D15" si="0">C3/$C$2</f>
        <v>0.49785378940308517</v>
      </c>
      <c r="E3" s="57">
        <f>'Trial Balance'!F14</f>
        <v>1712360</v>
      </c>
      <c r="F3" s="64">
        <f t="shared" ref="F3:F15" si="1">E3/$E$2</f>
        <v>0.49981319322825452</v>
      </c>
      <c r="G3" s="57">
        <f>'Trial Balance'!H14</f>
        <v>1926600</v>
      </c>
      <c r="H3" s="64">
        <f t="shared" ref="H3:H15" si="2">G3/$G$2</f>
        <v>0.49718709677419354</v>
      </c>
    </row>
    <row r="4" spans="1:10" x14ac:dyDescent="0.2">
      <c r="A4" t="s">
        <v>398</v>
      </c>
      <c r="C4" s="58">
        <f>C2-C3</f>
        <v>1497400</v>
      </c>
      <c r="D4" s="64">
        <f t="shared" si="0"/>
        <v>0.50214621059691478</v>
      </c>
      <c r="E4" s="57">
        <f>E2-E3</f>
        <v>1713640</v>
      </c>
      <c r="F4" s="64">
        <f t="shared" si="1"/>
        <v>0.50018680677174543</v>
      </c>
      <c r="G4" s="57">
        <f>G2-G3</f>
        <v>1948400</v>
      </c>
      <c r="H4" s="64">
        <f t="shared" si="2"/>
        <v>0.50281290322580641</v>
      </c>
    </row>
    <row r="5" spans="1:10" x14ac:dyDescent="0.2">
      <c r="A5" t="s">
        <v>399</v>
      </c>
      <c r="D5" s="64">
        <f t="shared" si="0"/>
        <v>0</v>
      </c>
      <c r="E5" s="57"/>
      <c r="F5" s="64">
        <f t="shared" si="1"/>
        <v>0</v>
      </c>
      <c r="G5" s="57"/>
      <c r="H5" s="64">
        <f t="shared" si="2"/>
        <v>0</v>
      </c>
    </row>
    <row r="6" spans="1:10" x14ac:dyDescent="0.2">
      <c r="B6" s="61" t="s">
        <v>270</v>
      </c>
      <c r="C6" s="62">
        <f>'Trial Balance'!D15</f>
        <v>480000</v>
      </c>
      <c r="D6" s="64">
        <f t="shared" si="0"/>
        <v>0.16096579476861167</v>
      </c>
      <c r="E6" s="57">
        <f>'Trial Balance'!F15</f>
        <v>516000</v>
      </c>
      <c r="F6" s="64">
        <f t="shared" si="1"/>
        <v>0.15061295971978983</v>
      </c>
      <c r="G6" s="57">
        <f>'Trial Balance'!H15</f>
        <v>558000</v>
      </c>
      <c r="H6" s="64">
        <f t="shared" si="2"/>
        <v>0.14399999999999999</v>
      </c>
    </row>
    <row r="7" spans="1:10" x14ac:dyDescent="0.2">
      <c r="B7" s="61" t="s">
        <v>273</v>
      </c>
      <c r="C7" s="62">
        <f>'Trial Balance'!D16</f>
        <v>195000</v>
      </c>
      <c r="D7" s="64">
        <f t="shared" si="0"/>
        <v>6.5392354124748489E-2</v>
      </c>
      <c r="E7" s="57">
        <f>'Trial Balance'!F16</f>
        <v>210000</v>
      </c>
      <c r="F7" s="64">
        <f t="shared" si="1"/>
        <v>6.1295971978984239E-2</v>
      </c>
      <c r="G7" s="57">
        <f>'Trial Balance'!H16</f>
        <v>225000</v>
      </c>
      <c r="H7" s="64">
        <f t="shared" si="2"/>
        <v>5.8064516129032261E-2</v>
      </c>
    </row>
    <row r="8" spans="1:10" x14ac:dyDescent="0.2">
      <c r="B8" s="61" t="s">
        <v>275</v>
      </c>
      <c r="C8" s="62">
        <f>'Trial Balance'!D17</f>
        <v>42000</v>
      </c>
      <c r="D8" s="64">
        <f t="shared" si="0"/>
        <v>1.4084507042253521E-2</v>
      </c>
      <c r="E8" s="57">
        <f>'Trial Balance'!F17</f>
        <v>46000</v>
      </c>
      <c r="F8" s="64">
        <f t="shared" si="1"/>
        <v>1.3426736719206071E-2</v>
      </c>
      <c r="G8" s="57">
        <f>'Trial Balance'!H17</f>
        <v>51000</v>
      </c>
      <c r="H8" s="64">
        <f t="shared" si="2"/>
        <v>1.3161290322580645E-2</v>
      </c>
    </row>
    <row r="9" spans="1:10" x14ac:dyDescent="0.2">
      <c r="B9" s="61" t="s">
        <v>277</v>
      </c>
      <c r="C9" s="62">
        <f>'Trial Balance'!D18</f>
        <v>38000</v>
      </c>
      <c r="D9" s="64">
        <f t="shared" si="0"/>
        <v>1.2743125419181758E-2</v>
      </c>
      <c r="E9" s="57">
        <f>'Trial Balance'!F18</f>
        <v>45000</v>
      </c>
      <c r="F9" s="64">
        <f t="shared" si="1"/>
        <v>1.3134851138353765E-2</v>
      </c>
      <c r="G9" s="57">
        <f>'Trial Balance'!H18</f>
        <v>55000</v>
      </c>
      <c r="H9" s="64">
        <f t="shared" si="2"/>
        <v>1.4193548387096775E-2</v>
      </c>
    </row>
    <row r="10" spans="1:10" x14ac:dyDescent="0.2">
      <c r="B10" s="61" t="s">
        <v>279</v>
      </c>
      <c r="C10" s="62">
        <f>'Trial Balance'!D19</f>
        <v>67500</v>
      </c>
      <c r="D10" s="64">
        <f t="shared" si="0"/>
        <v>2.2635814889336015E-2</v>
      </c>
      <c r="E10" s="57">
        <f>'Trial Balance'!F19</f>
        <v>97500</v>
      </c>
      <c r="F10" s="64">
        <f t="shared" si="1"/>
        <v>2.8458844133099823E-2</v>
      </c>
      <c r="G10" s="57">
        <f>'Trial Balance'!H19</f>
        <v>163920</v>
      </c>
      <c r="H10" s="64">
        <f t="shared" si="2"/>
        <v>4.230193548387097E-2</v>
      </c>
    </row>
    <row r="11" spans="1:10" x14ac:dyDescent="0.2">
      <c r="B11" s="61" t="s">
        <v>283</v>
      </c>
      <c r="C11" s="62">
        <f>'Trial Balance'!D21</f>
        <v>15000</v>
      </c>
      <c r="D11" s="64">
        <f t="shared" si="0"/>
        <v>5.0301810865191147E-3</v>
      </c>
      <c r="E11" s="57">
        <f>'Trial Balance'!F21</f>
        <v>17000</v>
      </c>
      <c r="F11" s="64">
        <f t="shared" si="1"/>
        <v>4.9620548744892003E-3</v>
      </c>
      <c r="G11" s="57">
        <f>'Trial Balance'!H21</f>
        <v>19000</v>
      </c>
      <c r="H11" s="64">
        <f t="shared" si="2"/>
        <v>4.9032258064516127E-3</v>
      </c>
    </row>
    <row r="12" spans="1:10" x14ac:dyDescent="0.2">
      <c r="A12" t="s">
        <v>400</v>
      </c>
      <c r="C12" s="63">
        <f>SUM(C6:C11)</f>
        <v>837500</v>
      </c>
      <c r="D12" s="64">
        <f t="shared" si="0"/>
        <v>0.28085177733065059</v>
      </c>
      <c r="E12" s="57">
        <f>SUM(E6:E11)</f>
        <v>931500</v>
      </c>
      <c r="F12" s="64">
        <f t="shared" si="1"/>
        <v>0.27189141856392296</v>
      </c>
      <c r="G12" s="57">
        <f>SUM(G6:G11)</f>
        <v>1071920</v>
      </c>
      <c r="H12" s="64">
        <f t="shared" si="2"/>
        <v>0.27662451612903227</v>
      </c>
    </row>
    <row r="13" spans="1:10" x14ac:dyDescent="0.2">
      <c r="A13" t="s">
        <v>401</v>
      </c>
      <c r="C13" s="59">
        <f>C4-C12</f>
        <v>659900</v>
      </c>
      <c r="D13" s="64">
        <f t="shared" si="0"/>
        <v>0.22129443326626425</v>
      </c>
      <c r="E13" s="57">
        <f>E4-E12</f>
        <v>782140</v>
      </c>
      <c r="F13" s="64">
        <f t="shared" si="1"/>
        <v>0.22829538820782252</v>
      </c>
      <c r="G13" s="57">
        <f>G4-G12</f>
        <v>876480</v>
      </c>
      <c r="H13" s="64">
        <f t="shared" si="2"/>
        <v>0.22618838709677419</v>
      </c>
    </row>
    <row r="14" spans="1:10" x14ac:dyDescent="0.2">
      <c r="A14" t="s">
        <v>281</v>
      </c>
      <c r="C14" s="60">
        <f>'Trial Balance'!D20</f>
        <v>18500</v>
      </c>
      <c r="D14" s="64">
        <f t="shared" si="0"/>
        <v>6.2038900067069077E-3</v>
      </c>
      <c r="E14" s="57">
        <f>'Trial Balance'!F20</f>
        <v>22000</v>
      </c>
      <c r="F14" s="64">
        <f t="shared" si="1"/>
        <v>6.4214827787507298E-3</v>
      </c>
      <c r="G14" s="57">
        <f>'Trial Balance'!H20</f>
        <v>25000</v>
      </c>
      <c r="H14" s="64">
        <f t="shared" si="2"/>
        <v>6.4516129032258064E-3</v>
      </c>
    </row>
    <row r="15" spans="1:10" x14ac:dyDescent="0.2">
      <c r="A15" t="s">
        <v>402</v>
      </c>
      <c r="C15" s="59">
        <f>C13-C14</f>
        <v>641400</v>
      </c>
      <c r="D15" s="64">
        <f t="shared" si="0"/>
        <v>0.21509054325955734</v>
      </c>
      <c r="E15" s="57">
        <f>E13-E14</f>
        <v>760140</v>
      </c>
      <c r="F15" s="64">
        <f t="shared" si="1"/>
        <v>0.22187390542907182</v>
      </c>
      <c r="G15" s="57">
        <f>G13-G14</f>
        <v>851480</v>
      </c>
      <c r="H15" s="64">
        <f t="shared" si="2"/>
        <v>0.2197367741935484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
  <sheetViews>
    <sheetView zoomScale="80" zoomScaleNormal="80" workbookViewId="0">
      <pane ySplit="2" topLeftCell="A4" activePane="bottomLeft" state="frozen"/>
      <selection pane="bottomLeft" activeCell="M27" sqref="M27"/>
    </sheetView>
  </sheetViews>
  <sheetFormatPr baseColWidth="10" defaultColWidth="8.6640625" defaultRowHeight="15" x14ac:dyDescent="0.2"/>
  <cols>
    <col min="1" max="1" width="10" customWidth="1"/>
    <col min="2" max="2" width="28" customWidth="1"/>
    <col min="3" max="3" width="10" customWidth="1"/>
    <col min="4" max="5" width="14" customWidth="1"/>
    <col min="6" max="6" width="12" customWidth="1"/>
    <col min="7" max="7" width="14" customWidth="1"/>
    <col min="8" max="9" width="18" customWidth="1"/>
    <col min="10" max="10" width="16" customWidth="1"/>
    <col min="11" max="12" width="18" customWidth="1"/>
    <col min="13" max="13" width="10" customWidth="1"/>
  </cols>
  <sheetData>
    <row r="1" spans="1:15" ht="21.75" customHeight="1" x14ac:dyDescent="0.2">
      <c r="A1" s="85" t="s">
        <v>215</v>
      </c>
      <c r="B1" s="85"/>
      <c r="C1" s="85"/>
      <c r="D1" s="85"/>
      <c r="E1" s="85"/>
      <c r="F1" s="85"/>
      <c r="G1" s="85"/>
      <c r="H1" s="85"/>
      <c r="I1" s="85"/>
      <c r="J1" s="85"/>
      <c r="K1" s="85"/>
      <c r="L1" s="85"/>
      <c r="M1" s="85"/>
    </row>
    <row r="2" spans="1:15" ht="30" customHeight="1" x14ac:dyDescent="0.2">
      <c r="A2" s="1" t="s">
        <v>376</v>
      </c>
      <c r="B2" s="1" t="s">
        <v>377</v>
      </c>
      <c r="C2" s="1" t="s">
        <v>216</v>
      </c>
      <c r="D2" s="1" t="s">
        <v>217</v>
      </c>
      <c r="E2" s="1" t="s">
        <v>375</v>
      </c>
      <c r="F2" s="1" t="s">
        <v>378</v>
      </c>
      <c r="G2" s="1" t="s">
        <v>379</v>
      </c>
      <c r="H2" s="1" t="s">
        <v>380</v>
      </c>
      <c r="I2" s="1" t="s">
        <v>381</v>
      </c>
      <c r="J2" s="1" t="s">
        <v>382</v>
      </c>
      <c r="K2" s="35" t="s">
        <v>383</v>
      </c>
      <c r="L2" s="1" t="s">
        <v>385</v>
      </c>
      <c r="M2" s="1" t="s">
        <v>218</v>
      </c>
    </row>
    <row r="3" spans="1:15" ht="15" customHeight="1" x14ac:dyDescent="0.2">
      <c r="A3" s="2" t="s">
        <v>219</v>
      </c>
      <c r="B3" s="2" t="s">
        <v>220</v>
      </c>
      <c r="C3" s="6" t="s">
        <v>13</v>
      </c>
      <c r="D3" s="6" t="s">
        <v>221</v>
      </c>
      <c r="E3" s="7">
        <v>44593</v>
      </c>
      <c r="F3" s="8">
        <v>580000</v>
      </c>
      <c r="G3" s="6">
        <v>8</v>
      </c>
      <c r="H3" s="8">
        <v>40000</v>
      </c>
      <c r="I3" s="2" t="s">
        <v>222</v>
      </c>
      <c r="J3" s="31"/>
      <c r="K3" s="36">
        <v>202500</v>
      </c>
      <c r="L3" s="33"/>
      <c r="M3" s="6" t="s">
        <v>223</v>
      </c>
    </row>
    <row r="4" spans="1:15" ht="15" customHeight="1" x14ac:dyDescent="0.2">
      <c r="A4" s="4" t="s">
        <v>224</v>
      </c>
      <c r="B4" s="4" t="s">
        <v>225</v>
      </c>
      <c r="C4" s="9" t="s">
        <v>50</v>
      </c>
      <c r="D4" s="9" t="s">
        <v>226</v>
      </c>
      <c r="E4" s="10">
        <v>44929</v>
      </c>
      <c r="F4" s="11">
        <v>320000</v>
      </c>
      <c r="G4" s="9">
        <v>10</v>
      </c>
      <c r="H4" s="11">
        <v>20000</v>
      </c>
      <c r="I4" s="4" t="s">
        <v>222</v>
      </c>
      <c r="J4" s="32">
        <f>(F4-H4)/G4</f>
        <v>30000</v>
      </c>
      <c r="K4" s="37">
        <f>I14</f>
        <v>60000</v>
      </c>
      <c r="L4" s="34">
        <f>F4-K4</f>
        <v>260000</v>
      </c>
      <c r="M4" s="9" t="s">
        <v>223</v>
      </c>
    </row>
    <row r="5" spans="1:15" ht="15" customHeight="1" x14ac:dyDescent="0.2">
      <c r="A5" s="2" t="s">
        <v>227</v>
      </c>
      <c r="B5" s="2" t="s">
        <v>228</v>
      </c>
      <c r="C5" s="6" t="s">
        <v>13</v>
      </c>
      <c r="D5" s="6" t="s">
        <v>229</v>
      </c>
      <c r="E5" s="7">
        <v>45292</v>
      </c>
      <c r="F5" s="8">
        <v>180000</v>
      </c>
      <c r="G5" s="6">
        <v>5</v>
      </c>
      <c r="H5" s="8">
        <v>18000</v>
      </c>
      <c r="I5" s="2" t="s">
        <v>230</v>
      </c>
      <c r="J5" s="31">
        <f>DB(F5,H5,G5,1)</f>
        <v>66420</v>
      </c>
      <c r="K5" s="36">
        <v>66420</v>
      </c>
      <c r="L5" s="33">
        <f>F5-K5</f>
        <v>113580</v>
      </c>
      <c r="M5" s="6" t="s">
        <v>223</v>
      </c>
    </row>
    <row r="7" spans="1:15" ht="15" customHeight="1" x14ac:dyDescent="0.2">
      <c r="A7" s="91" t="s">
        <v>231</v>
      </c>
      <c r="B7" s="91"/>
      <c r="C7" s="91"/>
      <c r="D7" s="91"/>
      <c r="E7" s="91"/>
      <c r="F7" s="91"/>
      <c r="G7" s="91"/>
      <c r="H7" s="91"/>
      <c r="I7" s="91"/>
      <c r="J7" s="91"/>
      <c r="K7" s="91"/>
      <c r="L7" s="91"/>
      <c r="M7" s="91"/>
    </row>
    <row r="10" spans="1:15" x14ac:dyDescent="0.2">
      <c r="A10" s="92" t="s">
        <v>356</v>
      </c>
      <c r="B10" s="92"/>
      <c r="C10" s="92"/>
      <c r="D10" s="92"/>
      <c r="E10" s="92"/>
      <c r="F10" s="93" t="s">
        <v>357</v>
      </c>
      <c r="G10" s="93"/>
      <c r="H10" s="93"/>
      <c r="I10" s="93"/>
      <c r="J10" s="93"/>
      <c r="K10" s="94" t="s">
        <v>358</v>
      </c>
      <c r="L10" s="94"/>
      <c r="M10" s="94"/>
      <c r="N10" s="94"/>
      <c r="O10" s="94"/>
    </row>
    <row r="11" spans="1:15" x14ac:dyDescent="0.2">
      <c r="A11" s="90" t="s">
        <v>359</v>
      </c>
      <c r="B11" s="90"/>
      <c r="C11" s="90"/>
      <c r="D11" s="90"/>
      <c r="E11" s="90"/>
      <c r="F11" s="90" t="s">
        <v>360</v>
      </c>
      <c r="G11" s="90"/>
      <c r="H11" s="90"/>
      <c r="I11" s="90"/>
      <c r="J11" s="90"/>
      <c r="K11" s="90" t="s">
        <v>361</v>
      </c>
      <c r="L11" s="90"/>
      <c r="M11" s="90"/>
      <c r="N11" s="90"/>
      <c r="O11" s="90"/>
    </row>
    <row r="12" spans="1:15" ht="26" x14ac:dyDescent="0.2">
      <c r="A12" s="26" t="s">
        <v>362</v>
      </c>
      <c r="B12" s="26" t="s">
        <v>363</v>
      </c>
      <c r="C12" s="26" t="s">
        <v>384</v>
      </c>
      <c r="D12" s="26" t="s">
        <v>386</v>
      </c>
      <c r="E12" s="26" t="s">
        <v>364</v>
      </c>
      <c r="F12" s="27" t="s">
        <v>362</v>
      </c>
      <c r="G12" s="27" t="s">
        <v>363</v>
      </c>
      <c r="H12" s="27" t="s">
        <v>384</v>
      </c>
      <c r="I12" s="27" t="str">
        <f>D12</f>
        <v>Accumulated. Depr.</v>
      </c>
      <c r="J12" s="27" t="s">
        <v>364</v>
      </c>
      <c r="K12" s="28" t="s">
        <v>362</v>
      </c>
      <c r="L12" s="28" t="s">
        <v>363</v>
      </c>
      <c r="M12" s="28" t="s">
        <v>384</v>
      </c>
      <c r="N12" s="28" t="str">
        <f>I12</f>
        <v>Accumulated. Depr.</v>
      </c>
      <c r="O12" s="28" t="s">
        <v>364</v>
      </c>
    </row>
    <row r="13" spans="1:15" x14ac:dyDescent="0.2">
      <c r="A13" s="29">
        <v>2022</v>
      </c>
      <c r="B13" s="30">
        <v>580000</v>
      </c>
      <c r="C13" s="30">
        <f>(580000-40000)/8</f>
        <v>67500</v>
      </c>
      <c r="D13" s="30">
        <f>(580000-40000)/8</f>
        <v>67500</v>
      </c>
      <c r="E13" s="30">
        <f>B13-C13</f>
        <v>512500</v>
      </c>
      <c r="F13" s="29">
        <v>2023</v>
      </c>
      <c r="G13" s="30">
        <v>320000</v>
      </c>
      <c r="H13" s="30">
        <f>(G13-20000)/10</f>
        <v>30000</v>
      </c>
      <c r="I13" s="30">
        <f>H13</f>
        <v>30000</v>
      </c>
      <c r="J13" s="30">
        <f>G13-H13</f>
        <v>290000</v>
      </c>
      <c r="K13" s="29">
        <v>2024</v>
      </c>
      <c r="L13" s="30">
        <v>180000</v>
      </c>
      <c r="M13" s="30">
        <f>DB(F5,H5,G5,1)</f>
        <v>66420</v>
      </c>
      <c r="N13" s="30">
        <f>M13</f>
        <v>66420</v>
      </c>
      <c r="O13" s="30">
        <f>L13-M13</f>
        <v>113580</v>
      </c>
    </row>
    <row r="14" spans="1:15" x14ac:dyDescent="0.2">
      <c r="A14" s="29">
        <v>2023</v>
      </c>
      <c r="B14" s="30">
        <f>E13</f>
        <v>512500</v>
      </c>
      <c r="C14" s="30">
        <f t="shared" ref="C14:C20" si="0">(580000-40000)/8</f>
        <v>67500</v>
      </c>
      <c r="D14" s="30">
        <f>D13+C14</f>
        <v>135000</v>
      </c>
      <c r="E14" s="30">
        <f>B14-C14</f>
        <v>445000</v>
      </c>
      <c r="F14" s="29">
        <v>2024</v>
      </c>
      <c r="G14" s="30">
        <f>J13</f>
        <v>290000</v>
      </c>
      <c r="H14" s="30">
        <f>H13</f>
        <v>30000</v>
      </c>
      <c r="I14" s="30">
        <f>I13+H14</f>
        <v>60000</v>
      </c>
      <c r="J14" s="30">
        <f>G14-H14</f>
        <v>260000</v>
      </c>
      <c r="K14" s="29">
        <v>2025</v>
      </c>
      <c r="L14" s="30">
        <f>O13</f>
        <v>113580</v>
      </c>
      <c r="M14" s="30">
        <f>DB(F5,H5,G5,2)</f>
        <v>41911.019999999997</v>
      </c>
      <c r="N14" s="30">
        <f>N13+M14</f>
        <v>108331.01999999999</v>
      </c>
      <c r="O14" s="30">
        <f>L14-M14</f>
        <v>71668.98000000001</v>
      </c>
    </row>
    <row r="15" spans="1:15" x14ac:dyDescent="0.2">
      <c r="A15" s="29">
        <v>2024</v>
      </c>
      <c r="B15" s="30">
        <f t="shared" ref="B15:B20" si="1">E14</f>
        <v>445000</v>
      </c>
      <c r="C15" s="30">
        <f t="shared" si="0"/>
        <v>67500</v>
      </c>
      <c r="D15" s="30">
        <f t="shared" ref="D15:D20" si="2">D14+C15</f>
        <v>202500</v>
      </c>
      <c r="E15" s="30">
        <f t="shared" ref="E15:E20" si="3">B15-C15</f>
        <v>377500</v>
      </c>
      <c r="F15" s="29">
        <v>2025</v>
      </c>
      <c r="G15" s="30">
        <f t="shared" ref="G15:G22" si="4">J14</f>
        <v>260000</v>
      </c>
      <c r="H15" s="30">
        <f t="shared" ref="H15:H22" si="5">H14</f>
        <v>30000</v>
      </c>
      <c r="I15" s="30">
        <f t="shared" ref="I15:I22" si="6">I14+H15</f>
        <v>90000</v>
      </c>
      <c r="J15" s="30">
        <f t="shared" ref="J15:J22" si="7">G15-H15</f>
        <v>230000</v>
      </c>
      <c r="K15" s="29">
        <v>2026</v>
      </c>
      <c r="L15" s="30">
        <f>O14</f>
        <v>71668.98000000001</v>
      </c>
      <c r="M15" s="30">
        <f>DB(F5,H5,G5,3)</f>
        <v>26445.853620000002</v>
      </c>
      <c r="N15" s="30">
        <f>N14+M15</f>
        <v>134776.87362</v>
      </c>
      <c r="O15" s="30">
        <f>L15-M15</f>
        <v>45223.126380000009</v>
      </c>
    </row>
    <row r="16" spans="1:15" x14ac:dyDescent="0.2">
      <c r="A16" s="29">
        <v>2025</v>
      </c>
      <c r="B16" s="30">
        <f t="shared" si="1"/>
        <v>377500</v>
      </c>
      <c r="C16" s="30">
        <f t="shared" si="0"/>
        <v>67500</v>
      </c>
      <c r="D16" s="30">
        <f t="shared" si="2"/>
        <v>270000</v>
      </c>
      <c r="E16" s="30">
        <f t="shared" si="3"/>
        <v>310000</v>
      </c>
      <c r="F16" s="29">
        <v>2026</v>
      </c>
      <c r="G16" s="30">
        <f t="shared" si="4"/>
        <v>230000</v>
      </c>
      <c r="H16" s="30">
        <f t="shared" si="5"/>
        <v>30000</v>
      </c>
      <c r="I16" s="30">
        <f t="shared" si="6"/>
        <v>120000</v>
      </c>
      <c r="J16" s="30">
        <f t="shared" si="7"/>
        <v>200000</v>
      </c>
      <c r="K16" s="29">
        <v>2027</v>
      </c>
      <c r="L16" s="30">
        <f>O15</f>
        <v>45223.126380000009</v>
      </c>
      <c r="M16" s="30">
        <f>DB(F5,H5,G5,4)</f>
        <v>16687.333634220002</v>
      </c>
      <c r="N16" s="30">
        <f>N15+M16</f>
        <v>151464.20725422</v>
      </c>
      <c r="O16" s="30">
        <f>L16-M16</f>
        <v>28535.792745780007</v>
      </c>
    </row>
    <row r="17" spans="1:15" x14ac:dyDescent="0.2">
      <c r="A17" s="29">
        <v>2026</v>
      </c>
      <c r="B17" s="30">
        <f t="shared" si="1"/>
        <v>310000</v>
      </c>
      <c r="C17" s="30">
        <f t="shared" si="0"/>
        <v>67500</v>
      </c>
      <c r="D17" s="30">
        <f t="shared" si="2"/>
        <v>337500</v>
      </c>
      <c r="E17" s="30">
        <f t="shared" si="3"/>
        <v>242500</v>
      </c>
      <c r="F17" s="29">
        <v>2027</v>
      </c>
      <c r="G17" s="30">
        <f t="shared" si="4"/>
        <v>200000</v>
      </c>
      <c r="H17" s="30">
        <f t="shared" si="5"/>
        <v>30000</v>
      </c>
      <c r="I17" s="30">
        <f t="shared" si="6"/>
        <v>150000</v>
      </c>
      <c r="J17" s="30">
        <f t="shared" si="7"/>
        <v>170000</v>
      </c>
      <c r="K17" s="29">
        <v>2028</v>
      </c>
      <c r="L17" s="30">
        <f>O16</f>
        <v>28535.792745780007</v>
      </c>
      <c r="M17" s="30">
        <f>DB(F5,H5,G5,5)</f>
        <v>10529.707523192823</v>
      </c>
      <c r="N17" s="30">
        <f>N16+M17</f>
        <v>161993.91477741284</v>
      </c>
      <c r="O17" s="30">
        <f>L17-M17</f>
        <v>18006.085222587186</v>
      </c>
    </row>
    <row r="18" spans="1:15" x14ac:dyDescent="0.2">
      <c r="A18" s="29">
        <v>2027</v>
      </c>
      <c r="B18" s="30">
        <f t="shared" si="1"/>
        <v>242500</v>
      </c>
      <c r="C18" s="30">
        <f t="shared" si="0"/>
        <v>67500</v>
      </c>
      <c r="D18" s="30">
        <f t="shared" si="2"/>
        <v>405000</v>
      </c>
      <c r="E18" s="30">
        <f t="shared" si="3"/>
        <v>175000</v>
      </c>
      <c r="F18" s="29">
        <v>2028</v>
      </c>
      <c r="G18" s="30">
        <f t="shared" si="4"/>
        <v>170000</v>
      </c>
      <c r="H18" s="30">
        <f t="shared" si="5"/>
        <v>30000</v>
      </c>
      <c r="I18" s="30">
        <f t="shared" si="6"/>
        <v>180000</v>
      </c>
      <c r="J18" s="30">
        <f t="shared" si="7"/>
        <v>140000</v>
      </c>
    </row>
    <row r="19" spans="1:15" x14ac:dyDescent="0.2">
      <c r="A19" s="29">
        <v>2028</v>
      </c>
      <c r="B19" s="30">
        <f t="shared" si="1"/>
        <v>175000</v>
      </c>
      <c r="C19" s="30">
        <f t="shared" si="0"/>
        <v>67500</v>
      </c>
      <c r="D19" s="30">
        <f t="shared" si="2"/>
        <v>472500</v>
      </c>
      <c r="E19" s="30">
        <f t="shared" si="3"/>
        <v>107500</v>
      </c>
      <c r="F19" s="29">
        <v>2029</v>
      </c>
      <c r="G19" s="30">
        <f t="shared" si="4"/>
        <v>140000</v>
      </c>
      <c r="H19" s="30">
        <f t="shared" si="5"/>
        <v>30000</v>
      </c>
      <c r="I19" s="30">
        <f t="shared" si="6"/>
        <v>210000</v>
      </c>
      <c r="J19" s="30">
        <f t="shared" si="7"/>
        <v>110000</v>
      </c>
    </row>
    <row r="20" spans="1:15" x14ac:dyDescent="0.2">
      <c r="A20" s="29">
        <v>2029</v>
      </c>
      <c r="B20" s="30">
        <f t="shared" si="1"/>
        <v>107500</v>
      </c>
      <c r="C20" s="30">
        <f t="shared" si="0"/>
        <v>67500</v>
      </c>
      <c r="D20" s="30">
        <f t="shared" si="2"/>
        <v>540000</v>
      </c>
      <c r="E20" s="30">
        <f t="shared" si="3"/>
        <v>40000</v>
      </c>
      <c r="F20" s="29">
        <v>2030</v>
      </c>
      <c r="G20" s="30">
        <f t="shared" si="4"/>
        <v>110000</v>
      </c>
      <c r="H20" s="30">
        <f t="shared" si="5"/>
        <v>30000</v>
      </c>
      <c r="I20" s="30">
        <f t="shared" si="6"/>
        <v>240000</v>
      </c>
      <c r="J20" s="30">
        <f t="shared" si="7"/>
        <v>80000</v>
      </c>
    </row>
    <row r="21" spans="1:15" x14ac:dyDescent="0.2">
      <c r="F21" s="29">
        <v>2031</v>
      </c>
      <c r="G21" s="30">
        <f t="shared" si="4"/>
        <v>80000</v>
      </c>
      <c r="H21" s="30">
        <f t="shared" si="5"/>
        <v>30000</v>
      </c>
      <c r="I21" s="30">
        <f t="shared" si="6"/>
        <v>270000</v>
      </c>
      <c r="J21" s="30">
        <f t="shared" si="7"/>
        <v>50000</v>
      </c>
    </row>
    <row r="22" spans="1:15" x14ac:dyDescent="0.2">
      <c r="F22" s="29">
        <v>2032</v>
      </c>
      <c r="G22" s="30">
        <f t="shared" si="4"/>
        <v>50000</v>
      </c>
      <c r="H22" s="30">
        <f t="shared" si="5"/>
        <v>30000</v>
      </c>
      <c r="I22" s="30">
        <f t="shared" si="6"/>
        <v>300000</v>
      </c>
      <c r="J22" s="30">
        <f t="shared" si="7"/>
        <v>20000</v>
      </c>
    </row>
  </sheetData>
  <mergeCells count="8">
    <mergeCell ref="A11:E11"/>
    <mergeCell ref="F11:J11"/>
    <mergeCell ref="K11:O11"/>
    <mergeCell ref="A1:M1"/>
    <mergeCell ref="A7:M7"/>
    <mergeCell ref="A10:E10"/>
    <mergeCell ref="F10:J10"/>
    <mergeCell ref="K10:O10"/>
  </mergeCell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zoomScaleNormal="100" workbookViewId="0">
      <pane ySplit="2" topLeftCell="A3" activePane="bottomLeft" state="frozen"/>
      <selection activeCell="E1" sqref="E1"/>
      <selection pane="bottomLeft" activeCell="I16" sqref="I16"/>
    </sheetView>
  </sheetViews>
  <sheetFormatPr baseColWidth="10" defaultColWidth="8.6640625" defaultRowHeight="15" x14ac:dyDescent="0.2"/>
  <cols>
    <col min="1" max="1" width="12" customWidth="1"/>
    <col min="2" max="2" width="22" customWidth="1"/>
    <col min="3" max="3" width="14" customWidth="1"/>
    <col min="4" max="4" width="10" customWidth="1"/>
    <col min="5" max="5" width="26" customWidth="1"/>
    <col min="6" max="6" width="14" customWidth="1"/>
    <col min="7" max="7" width="22" customWidth="1"/>
    <col min="8" max="8" width="24" customWidth="1"/>
    <col min="9" max="9" width="16" customWidth="1"/>
    <col min="10" max="10" width="26" customWidth="1"/>
    <col min="11" max="12" width="14" customWidth="1"/>
    <col min="13" max="13" width="16" customWidth="1"/>
    <col min="14" max="14" width="14" customWidth="1"/>
  </cols>
  <sheetData>
    <row r="1" spans="1:14" ht="21.75" customHeight="1" x14ac:dyDescent="0.2">
      <c r="A1" s="85" t="s">
        <v>285</v>
      </c>
      <c r="B1" s="85"/>
      <c r="C1" s="85"/>
      <c r="D1" s="85"/>
      <c r="E1" s="85"/>
      <c r="F1" s="85"/>
      <c r="G1" s="85"/>
      <c r="H1" s="85"/>
      <c r="I1" s="85"/>
      <c r="J1" s="85"/>
      <c r="K1" s="85"/>
      <c r="L1" s="85"/>
      <c r="M1" s="85"/>
      <c r="N1" s="85"/>
    </row>
    <row r="2" spans="1:14" ht="34.5" customHeight="1" x14ac:dyDescent="0.2">
      <c r="A2" s="1" t="s">
        <v>374</v>
      </c>
      <c r="B2" s="1" t="s">
        <v>373</v>
      </c>
      <c r="C2" s="1" t="s">
        <v>286</v>
      </c>
      <c r="D2" s="1" t="s">
        <v>216</v>
      </c>
      <c r="E2" s="1" t="s">
        <v>287</v>
      </c>
      <c r="F2" s="1" t="s">
        <v>365</v>
      </c>
      <c r="G2" s="1" t="s">
        <v>366</v>
      </c>
      <c r="H2" s="1" t="s">
        <v>367</v>
      </c>
      <c r="I2" s="1" t="s">
        <v>368</v>
      </c>
      <c r="J2" s="1" t="s">
        <v>387</v>
      </c>
      <c r="K2" s="1" t="s">
        <v>369</v>
      </c>
      <c r="L2" s="1" t="s">
        <v>370</v>
      </c>
      <c r="M2" s="1" t="s">
        <v>371</v>
      </c>
      <c r="N2" s="1" t="s">
        <v>372</v>
      </c>
    </row>
    <row r="3" spans="1:14" ht="15" customHeight="1" x14ac:dyDescent="0.2">
      <c r="A3" s="2" t="s">
        <v>288</v>
      </c>
      <c r="B3" s="2" t="s">
        <v>289</v>
      </c>
      <c r="C3" s="2" t="s">
        <v>290</v>
      </c>
      <c r="D3" s="2" t="s">
        <v>13</v>
      </c>
      <c r="E3" s="2" t="s">
        <v>291</v>
      </c>
      <c r="F3" s="3">
        <v>18000</v>
      </c>
      <c r="G3" s="3">
        <v>4500</v>
      </c>
      <c r="H3" s="3">
        <v>1200</v>
      </c>
      <c r="I3" s="3">
        <f>SUM(F3+G3+H3)</f>
        <v>23700</v>
      </c>
      <c r="J3" s="2">
        <f>(F3+G3)*0.1</f>
        <v>2250</v>
      </c>
      <c r="K3" s="3">
        <v>0</v>
      </c>
      <c r="L3" s="3">
        <f>I3-J3-K3</f>
        <v>21450</v>
      </c>
      <c r="M3" s="2" t="s">
        <v>292</v>
      </c>
      <c r="N3" s="2" t="s">
        <v>293</v>
      </c>
    </row>
    <row r="4" spans="1:14" ht="15" customHeight="1" x14ac:dyDescent="0.2">
      <c r="A4" s="4" t="s">
        <v>294</v>
      </c>
      <c r="B4" s="4" t="s">
        <v>295</v>
      </c>
      <c r="C4" s="4" t="s">
        <v>290</v>
      </c>
      <c r="D4" s="4" t="s">
        <v>50</v>
      </c>
      <c r="E4" s="4" t="s">
        <v>296</v>
      </c>
      <c r="F4" s="5">
        <v>15000</v>
      </c>
      <c r="G4" s="5">
        <v>3750</v>
      </c>
      <c r="H4" s="5">
        <v>1000</v>
      </c>
      <c r="I4" s="3">
        <f t="shared" ref="I4:I16" si="0">SUM(F4+G4+H4)</f>
        <v>19750</v>
      </c>
      <c r="J4" s="4">
        <f>(F4+G4)*0.1</f>
        <v>1875</v>
      </c>
      <c r="K4" s="5">
        <v>0</v>
      </c>
      <c r="L4" s="5">
        <f>I4-J4-K4</f>
        <v>17875</v>
      </c>
      <c r="M4" s="4" t="s">
        <v>292</v>
      </c>
      <c r="N4" s="4" t="s">
        <v>297</v>
      </c>
    </row>
    <row r="5" spans="1:14" ht="15" customHeight="1" x14ac:dyDescent="0.2">
      <c r="A5" s="2" t="s">
        <v>298</v>
      </c>
      <c r="B5" s="2" t="s">
        <v>299</v>
      </c>
      <c r="C5" s="2" t="s">
        <v>290</v>
      </c>
      <c r="D5" s="2" t="s">
        <v>38</v>
      </c>
      <c r="E5" s="2" t="s">
        <v>300</v>
      </c>
      <c r="F5" s="3">
        <v>14000</v>
      </c>
      <c r="G5" s="3">
        <v>3500</v>
      </c>
      <c r="H5" s="3">
        <v>1000</v>
      </c>
      <c r="I5" s="3">
        <f t="shared" si="0"/>
        <v>18500</v>
      </c>
      <c r="J5" s="4">
        <f t="shared" ref="J5:J15" si="1">(F5+G5)*0.1</f>
        <v>1750</v>
      </c>
      <c r="K5" s="3">
        <v>0</v>
      </c>
      <c r="L5" s="5">
        <f t="shared" ref="L5:L16" si="2">I5-J5-K5</f>
        <v>16750</v>
      </c>
      <c r="M5" s="2" t="s">
        <v>292</v>
      </c>
      <c r="N5" s="2" t="s">
        <v>301</v>
      </c>
    </row>
    <row r="6" spans="1:14" ht="15" customHeight="1" x14ac:dyDescent="0.2">
      <c r="A6" s="4" t="s">
        <v>302</v>
      </c>
      <c r="B6" s="4" t="s">
        <v>303</v>
      </c>
      <c r="C6" s="4" t="s">
        <v>304</v>
      </c>
      <c r="D6" s="4" t="s">
        <v>13</v>
      </c>
      <c r="E6" s="4" t="s">
        <v>305</v>
      </c>
      <c r="F6" s="5">
        <v>28000</v>
      </c>
      <c r="G6" s="5">
        <v>7000</v>
      </c>
      <c r="H6" s="5">
        <v>1500</v>
      </c>
      <c r="I6" s="3">
        <f t="shared" si="0"/>
        <v>36500</v>
      </c>
      <c r="J6" s="4">
        <f t="shared" si="1"/>
        <v>3500</v>
      </c>
      <c r="K6" s="5">
        <v>0</v>
      </c>
      <c r="L6" s="5">
        <f t="shared" si="2"/>
        <v>33000</v>
      </c>
      <c r="M6" s="4" t="s">
        <v>292</v>
      </c>
      <c r="N6" s="4" t="s">
        <v>306</v>
      </c>
    </row>
    <row r="7" spans="1:14" ht="15" customHeight="1" x14ac:dyDescent="0.2">
      <c r="A7" s="2" t="s">
        <v>307</v>
      </c>
      <c r="B7" s="2" t="s">
        <v>308</v>
      </c>
      <c r="C7" s="2" t="s">
        <v>304</v>
      </c>
      <c r="D7" s="2" t="s">
        <v>13</v>
      </c>
      <c r="E7" s="2" t="s">
        <v>309</v>
      </c>
      <c r="F7" s="3">
        <v>16000</v>
      </c>
      <c r="G7" s="3">
        <v>4000</v>
      </c>
      <c r="H7" s="3">
        <v>1000</v>
      </c>
      <c r="I7" s="3">
        <f t="shared" si="0"/>
        <v>21000</v>
      </c>
      <c r="J7" s="4">
        <f t="shared" si="1"/>
        <v>2000</v>
      </c>
      <c r="K7" s="3">
        <v>0</v>
      </c>
      <c r="L7" s="5">
        <f t="shared" si="2"/>
        <v>19000</v>
      </c>
      <c r="M7" s="2" t="s">
        <v>292</v>
      </c>
      <c r="N7" s="2" t="s">
        <v>310</v>
      </c>
    </row>
    <row r="8" spans="1:14" ht="15" customHeight="1" x14ac:dyDescent="0.2">
      <c r="A8" s="4" t="s">
        <v>311</v>
      </c>
      <c r="B8" s="4" t="s">
        <v>312</v>
      </c>
      <c r="C8" s="4" t="s">
        <v>313</v>
      </c>
      <c r="D8" s="4" t="s">
        <v>85</v>
      </c>
      <c r="E8" s="4" t="s">
        <v>314</v>
      </c>
      <c r="F8" s="5">
        <v>17000</v>
      </c>
      <c r="G8" s="5">
        <v>4250</v>
      </c>
      <c r="H8" s="5">
        <v>1000</v>
      </c>
      <c r="I8" s="3">
        <f t="shared" si="0"/>
        <v>22250</v>
      </c>
      <c r="J8" s="4">
        <f t="shared" si="1"/>
        <v>2125</v>
      </c>
      <c r="K8" s="5">
        <v>0</v>
      </c>
      <c r="L8" s="5">
        <f t="shared" si="2"/>
        <v>20125</v>
      </c>
      <c r="M8" s="4" t="s">
        <v>292</v>
      </c>
      <c r="N8" s="4" t="s">
        <v>315</v>
      </c>
    </row>
    <row r="9" spans="1:14" ht="15" customHeight="1" x14ac:dyDescent="0.2">
      <c r="A9" s="2" t="s">
        <v>316</v>
      </c>
      <c r="B9" s="2" t="s">
        <v>317</v>
      </c>
      <c r="C9" s="2" t="s">
        <v>318</v>
      </c>
      <c r="D9" s="2" t="s">
        <v>38</v>
      </c>
      <c r="E9" s="2" t="s">
        <v>319</v>
      </c>
      <c r="F9" s="3">
        <v>12000</v>
      </c>
      <c r="G9" s="3">
        <v>3000</v>
      </c>
      <c r="H9" s="3">
        <v>800</v>
      </c>
      <c r="I9" s="3">
        <f t="shared" si="0"/>
        <v>15800</v>
      </c>
      <c r="J9" s="4">
        <f t="shared" si="1"/>
        <v>1500</v>
      </c>
      <c r="K9" s="3">
        <v>0</v>
      </c>
      <c r="L9" s="5">
        <f t="shared" si="2"/>
        <v>14300</v>
      </c>
      <c r="M9" s="2" t="s">
        <v>292</v>
      </c>
      <c r="N9" s="2" t="s">
        <v>320</v>
      </c>
    </row>
    <row r="10" spans="1:14" ht="15" customHeight="1" x14ac:dyDescent="0.2">
      <c r="A10" s="4" t="s">
        <v>321</v>
      </c>
      <c r="B10" s="4" t="s">
        <v>322</v>
      </c>
      <c r="C10" s="4" t="s">
        <v>323</v>
      </c>
      <c r="D10" s="4" t="s">
        <v>13</v>
      </c>
      <c r="E10" s="4" t="s">
        <v>324</v>
      </c>
      <c r="F10" s="5">
        <v>19000</v>
      </c>
      <c r="G10" s="5">
        <v>4750</v>
      </c>
      <c r="H10" s="5">
        <v>1200</v>
      </c>
      <c r="I10" s="3">
        <f t="shared" si="0"/>
        <v>24950</v>
      </c>
      <c r="J10" s="4">
        <f t="shared" si="1"/>
        <v>2375</v>
      </c>
      <c r="K10" s="5">
        <v>0</v>
      </c>
      <c r="L10" s="5">
        <f t="shared" si="2"/>
        <v>22575</v>
      </c>
      <c r="M10" s="4" t="s">
        <v>292</v>
      </c>
      <c r="N10" s="4" t="s">
        <v>325</v>
      </c>
    </row>
    <row r="11" spans="1:14" ht="15" customHeight="1" x14ac:dyDescent="0.2">
      <c r="A11" s="2" t="s">
        <v>326</v>
      </c>
      <c r="B11" s="2" t="s">
        <v>327</v>
      </c>
      <c r="C11" s="2" t="s">
        <v>328</v>
      </c>
      <c r="D11" s="2" t="s">
        <v>13</v>
      </c>
      <c r="E11" s="2" t="s">
        <v>329</v>
      </c>
      <c r="F11" s="3">
        <v>22000</v>
      </c>
      <c r="G11" s="3">
        <v>5500</v>
      </c>
      <c r="H11" s="3">
        <v>1200</v>
      </c>
      <c r="I11" s="3">
        <f t="shared" si="0"/>
        <v>28700</v>
      </c>
      <c r="J11" s="4">
        <f t="shared" si="1"/>
        <v>2750</v>
      </c>
      <c r="K11" s="3">
        <v>0</v>
      </c>
      <c r="L11" s="5">
        <f t="shared" si="2"/>
        <v>25950</v>
      </c>
      <c r="M11" s="2" t="s">
        <v>292</v>
      </c>
      <c r="N11" s="2" t="s">
        <v>11</v>
      </c>
    </row>
    <row r="12" spans="1:14" ht="15" customHeight="1" x14ac:dyDescent="0.2">
      <c r="A12" s="4" t="s">
        <v>330</v>
      </c>
      <c r="B12" s="4" t="s">
        <v>331</v>
      </c>
      <c r="C12" s="4" t="s">
        <v>290</v>
      </c>
      <c r="D12" s="4" t="s">
        <v>97</v>
      </c>
      <c r="E12" s="4" t="s">
        <v>332</v>
      </c>
      <c r="F12" s="5">
        <v>9500</v>
      </c>
      <c r="G12" s="5">
        <v>2375</v>
      </c>
      <c r="H12" s="5">
        <v>700</v>
      </c>
      <c r="I12" s="3">
        <f t="shared" si="0"/>
        <v>12575</v>
      </c>
      <c r="J12" s="4">
        <f t="shared" si="1"/>
        <v>1187.5</v>
      </c>
      <c r="K12" s="5">
        <v>0</v>
      </c>
      <c r="L12" s="5">
        <f t="shared" si="2"/>
        <v>11387.5</v>
      </c>
      <c r="M12" s="4" t="s">
        <v>292</v>
      </c>
      <c r="N12" s="4" t="s">
        <v>333</v>
      </c>
    </row>
    <row r="13" spans="1:14" ht="15" customHeight="1" x14ac:dyDescent="0.2">
      <c r="A13" s="2" t="s">
        <v>334</v>
      </c>
      <c r="B13" s="2" t="s">
        <v>335</v>
      </c>
      <c r="C13" s="2" t="s">
        <v>318</v>
      </c>
      <c r="D13" s="2" t="s">
        <v>13</v>
      </c>
      <c r="E13" s="2" t="s">
        <v>336</v>
      </c>
      <c r="F13" s="3">
        <v>6500</v>
      </c>
      <c r="G13" s="3">
        <v>1625</v>
      </c>
      <c r="H13" s="3">
        <v>650</v>
      </c>
      <c r="I13" s="3">
        <f t="shared" si="0"/>
        <v>8775</v>
      </c>
      <c r="J13" s="4">
        <f t="shared" si="1"/>
        <v>812.5</v>
      </c>
      <c r="K13" s="3">
        <v>0</v>
      </c>
      <c r="L13" s="5">
        <f t="shared" si="2"/>
        <v>7962.5</v>
      </c>
      <c r="M13" s="2" t="s">
        <v>292</v>
      </c>
      <c r="N13" s="2" t="s">
        <v>337</v>
      </c>
    </row>
    <row r="14" spans="1:14" ht="15" customHeight="1" x14ac:dyDescent="0.2">
      <c r="A14" s="4" t="s">
        <v>338</v>
      </c>
      <c r="B14" s="4" t="s">
        <v>339</v>
      </c>
      <c r="C14" s="4" t="s">
        <v>304</v>
      </c>
      <c r="D14" s="4" t="s">
        <v>50</v>
      </c>
      <c r="E14" s="4" t="s">
        <v>340</v>
      </c>
      <c r="F14" s="5">
        <v>13500</v>
      </c>
      <c r="G14" s="5">
        <v>3375</v>
      </c>
      <c r="H14" s="5">
        <v>900</v>
      </c>
      <c r="I14" s="3">
        <f t="shared" si="0"/>
        <v>17775</v>
      </c>
      <c r="J14" s="4">
        <f t="shared" si="1"/>
        <v>1687.5</v>
      </c>
      <c r="K14" s="5">
        <v>0</v>
      </c>
      <c r="L14" s="5">
        <f t="shared" si="2"/>
        <v>16087.5</v>
      </c>
      <c r="M14" s="4" t="s">
        <v>292</v>
      </c>
      <c r="N14" s="4" t="s">
        <v>341</v>
      </c>
    </row>
    <row r="15" spans="1:14" ht="15" customHeight="1" x14ac:dyDescent="0.2">
      <c r="A15" s="2" t="s">
        <v>342</v>
      </c>
      <c r="B15" s="2" t="s">
        <v>343</v>
      </c>
      <c r="C15" s="2" t="s">
        <v>290</v>
      </c>
      <c r="D15" s="2" t="s">
        <v>38</v>
      </c>
      <c r="E15" s="2" t="s">
        <v>332</v>
      </c>
      <c r="F15" s="3">
        <v>9000</v>
      </c>
      <c r="G15" s="3">
        <v>2250</v>
      </c>
      <c r="H15" s="3">
        <v>700</v>
      </c>
      <c r="I15" s="3">
        <f t="shared" si="0"/>
        <v>11950</v>
      </c>
      <c r="J15" s="4">
        <f t="shared" si="1"/>
        <v>1125</v>
      </c>
      <c r="K15" s="3">
        <v>0</v>
      </c>
      <c r="L15" s="5">
        <f t="shared" si="2"/>
        <v>10825</v>
      </c>
      <c r="M15" s="2" t="s">
        <v>292</v>
      </c>
      <c r="N15" s="2" t="s">
        <v>344</v>
      </c>
    </row>
    <row r="16" spans="1:14" ht="15" customHeight="1" x14ac:dyDescent="0.2">
      <c r="A16" s="4" t="s">
        <v>345</v>
      </c>
      <c r="B16" s="4" t="s">
        <v>346</v>
      </c>
      <c r="C16" s="4" t="s">
        <v>323</v>
      </c>
      <c r="D16" s="4" t="s">
        <v>13</v>
      </c>
      <c r="E16" s="4" t="s">
        <v>347</v>
      </c>
      <c r="F16" s="5">
        <v>10500</v>
      </c>
      <c r="G16" s="5">
        <v>2625</v>
      </c>
      <c r="H16" s="5"/>
      <c r="I16" s="3">
        <f t="shared" si="0"/>
        <v>13125</v>
      </c>
      <c r="J16" s="4">
        <f>(F16+G16)*0.1</f>
        <v>1312.5</v>
      </c>
      <c r="K16" s="5">
        <v>0</v>
      </c>
      <c r="L16" s="5">
        <f t="shared" si="2"/>
        <v>11812.5</v>
      </c>
      <c r="M16" s="4" t="s">
        <v>348</v>
      </c>
      <c r="N16" s="4" t="s">
        <v>349</v>
      </c>
    </row>
  </sheetData>
  <mergeCells count="1">
    <mergeCell ref="A1:N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688CB-B421-F442-B106-745181DF0FDB}">
  <sheetPr>
    <outlinePr summaryBelow="0"/>
  </sheetPr>
  <dimension ref="B1:G13"/>
  <sheetViews>
    <sheetView showGridLines="0" workbookViewId="0"/>
  </sheetViews>
  <sheetFormatPr baseColWidth="10" defaultRowHeight="15" outlineLevelRow="1" outlineLevelCol="1" x14ac:dyDescent="0.2"/>
  <cols>
    <col min="3" max="3" width="6.1640625" bestFit="1" customWidth="1"/>
    <col min="4" max="7" width="11.6640625" bestFit="1" customWidth="1" outlineLevel="1"/>
  </cols>
  <sheetData>
    <row r="1" spans="2:7" ht="16" thickBot="1" x14ac:dyDescent="0.25"/>
    <row r="2" spans="2:7" ht="16" x14ac:dyDescent="0.2">
      <c r="B2" s="75" t="s">
        <v>426</v>
      </c>
      <c r="C2" s="75"/>
      <c r="D2" s="80"/>
      <c r="E2" s="80"/>
      <c r="F2" s="80"/>
      <c r="G2" s="80"/>
    </row>
    <row r="3" spans="2:7" ht="16" collapsed="1" x14ac:dyDescent="0.2">
      <c r="B3" s="74"/>
      <c r="C3" s="74"/>
      <c r="D3" s="81" t="s">
        <v>428</v>
      </c>
      <c r="E3" s="81" t="s">
        <v>422</v>
      </c>
      <c r="F3" s="81" t="s">
        <v>424</v>
      </c>
      <c r="G3" s="81" t="s">
        <v>425</v>
      </c>
    </row>
    <row r="4" spans="2:7" ht="72" hidden="1" outlineLevel="1" x14ac:dyDescent="0.2">
      <c r="B4" s="77"/>
      <c r="C4" s="77"/>
      <c r="E4" s="84" t="s">
        <v>423</v>
      </c>
      <c r="F4" s="84" t="s">
        <v>423</v>
      </c>
      <c r="G4" s="84" t="s">
        <v>423</v>
      </c>
    </row>
    <row r="5" spans="2:7" x14ac:dyDescent="0.2">
      <c r="B5" s="78" t="s">
        <v>427</v>
      </c>
      <c r="C5" s="78"/>
      <c r="D5" s="76"/>
      <c r="E5" s="76"/>
      <c r="F5" s="76"/>
      <c r="G5" s="76"/>
    </row>
    <row r="6" spans="2:7" outlineLevel="1" x14ac:dyDescent="0.2">
      <c r="B6" s="77"/>
      <c r="C6" s="77" t="s">
        <v>418</v>
      </c>
      <c r="D6" s="71">
        <v>4.4999999999999998E-2</v>
      </c>
      <c r="E6" s="82">
        <v>0.06</v>
      </c>
      <c r="F6" s="82">
        <v>4.4999999999999998E-2</v>
      </c>
      <c r="G6" s="82">
        <v>0.08</v>
      </c>
    </row>
    <row r="7" spans="2:7" outlineLevel="1" x14ac:dyDescent="0.2">
      <c r="B7" s="77"/>
      <c r="C7" s="77" t="s">
        <v>419</v>
      </c>
      <c r="D7" s="72">
        <v>5</v>
      </c>
      <c r="E7" s="83">
        <v>5</v>
      </c>
      <c r="F7" s="83">
        <v>5</v>
      </c>
      <c r="G7" s="83">
        <v>7</v>
      </c>
    </row>
    <row r="8" spans="2:7" outlineLevel="1" x14ac:dyDescent="0.2">
      <c r="B8" s="77"/>
      <c r="C8" s="77" t="s">
        <v>420</v>
      </c>
      <c r="D8" s="72">
        <v>60</v>
      </c>
      <c r="E8" s="83">
        <v>60</v>
      </c>
      <c r="F8" s="83">
        <v>60</v>
      </c>
      <c r="G8" s="83">
        <v>84</v>
      </c>
    </row>
    <row r="9" spans="2:7" x14ac:dyDescent="0.2">
      <c r="B9" s="78" t="s">
        <v>429</v>
      </c>
      <c r="C9" s="78"/>
      <c r="D9" s="76"/>
      <c r="E9" s="76"/>
      <c r="F9" s="76"/>
      <c r="G9" s="76"/>
    </row>
    <row r="10" spans="2:7" ht="16" outlineLevel="1" thickBot="1" x14ac:dyDescent="0.25">
      <c r="B10" s="79"/>
      <c r="C10" s="79" t="s">
        <v>421</v>
      </c>
      <c r="D10" s="73">
        <v>1677871.7317365</v>
      </c>
      <c r="E10" s="73">
        <v>1739952.13764851</v>
      </c>
      <c r="F10" s="73">
        <v>1677871.7317365</v>
      </c>
      <c r="G10" s="73">
        <v>1963863.0147363599</v>
      </c>
    </row>
    <row r="11" spans="2:7" x14ac:dyDescent="0.2">
      <c r="B11" t="s">
        <v>430</v>
      </c>
    </row>
    <row r="12" spans="2:7" x14ac:dyDescent="0.2">
      <c r="B12" t="s">
        <v>431</v>
      </c>
    </row>
    <row r="13" spans="2:7" x14ac:dyDescent="0.2">
      <c r="B13" t="s">
        <v>432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AE8CE-5350-534C-9C5C-2DEEF3FE6B44}">
  <dimension ref="A1:J27"/>
  <sheetViews>
    <sheetView showGridLines="0" topLeftCell="A2" zoomScaleNormal="100" workbookViewId="0">
      <selection activeCell="C14" sqref="C14"/>
    </sheetView>
  </sheetViews>
  <sheetFormatPr baseColWidth="10" defaultColWidth="8.6640625" defaultRowHeight="15" x14ac:dyDescent="0.2"/>
  <cols>
    <col min="1" max="1" width="38" bestFit="1" customWidth="1"/>
    <col min="2" max="2" width="18" customWidth="1"/>
    <col min="3" max="3" width="14" customWidth="1"/>
    <col min="4" max="4" width="2" customWidth="1"/>
    <col min="5" max="6" width="18" customWidth="1"/>
    <col min="7" max="7" width="14" customWidth="1"/>
    <col min="8" max="8" width="2" customWidth="1"/>
    <col min="9" max="10" width="18" customWidth="1"/>
    <col min="11" max="11" width="14" customWidth="1"/>
  </cols>
  <sheetData>
    <row r="1" spans="1:10" ht="21.75" customHeight="1" x14ac:dyDescent="0.2">
      <c r="A1" s="85" t="s">
        <v>350</v>
      </c>
      <c r="B1" s="85"/>
      <c r="C1" s="85"/>
      <c r="D1" s="85"/>
      <c r="E1" s="85"/>
      <c r="F1" s="85"/>
      <c r="G1" s="85"/>
      <c r="H1" s="85"/>
      <c r="I1" s="85"/>
      <c r="J1" s="85"/>
    </row>
    <row r="2" spans="1:10" ht="27.75" customHeight="1" x14ac:dyDescent="0.2">
      <c r="A2" s="86" t="s">
        <v>388</v>
      </c>
      <c r="B2" s="86"/>
      <c r="C2" s="86"/>
      <c r="D2" s="86"/>
      <c r="E2" s="86"/>
      <c r="F2" s="86"/>
      <c r="G2" s="86"/>
      <c r="H2" s="86"/>
      <c r="I2" s="86"/>
      <c r="J2" s="86"/>
    </row>
    <row r="3" spans="1:10" ht="27.75" customHeight="1" x14ac:dyDescent="0.2">
      <c r="A3" s="39"/>
      <c r="B3" s="39"/>
      <c r="C3" s="39"/>
      <c r="D3" s="39"/>
      <c r="E3" s="39"/>
      <c r="F3" s="39"/>
      <c r="G3" s="39"/>
      <c r="H3" s="39"/>
      <c r="I3" s="39"/>
      <c r="J3" s="39"/>
    </row>
    <row r="4" spans="1:10" ht="27.75" customHeight="1" x14ac:dyDescent="0.2">
      <c r="A4" s="42" t="s">
        <v>391</v>
      </c>
      <c r="B4" s="66">
        <f>PMT(6%/12,60,C9)</f>
        <v>-28999.202294141869</v>
      </c>
      <c r="C4" s="39"/>
      <c r="D4" s="39"/>
      <c r="E4" s="39"/>
      <c r="F4" s="39"/>
      <c r="G4" s="39"/>
      <c r="H4" s="39"/>
      <c r="I4" s="39"/>
      <c r="J4" s="39"/>
    </row>
    <row r="5" spans="1:10" ht="27.75" customHeight="1" x14ac:dyDescent="0.2">
      <c r="A5" s="42" t="s">
        <v>392</v>
      </c>
      <c r="B5" s="66">
        <f>PMT(4.5%/12,60,C9)</f>
        <v>-27964.528862274976</v>
      </c>
      <c r="C5" s="39"/>
      <c r="D5" s="39"/>
      <c r="E5" s="39"/>
      <c r="F5" s="39"/>
      <c r="G5" s="39"/>
      <c r="H5" s="39"/>
      <c r="I5" s="39"/>
      <c r="J5" s="39"/>
    </row>
    <row r="6" spans="1:10" ht="27.75" customHeight="1" x14ac:dyDescent="0.2">
      <c r="A6" s="42" t="s">
        <v>393</v>
      </c>
      <c r="B6" s="66">
        <f>PMT(8%/12,84,C9)</f>
        <v>-23379.321604004312</v>
      </c>
      <c r="C6" s="39"/>
      <c r="D6" s="39"/>
      <c r="E6" s="39"/>
      <c r="F6" s="39"/>
      <c r="G6" s="39"/>
      <c r="H6" s="39"/>
      <c r="I6" s="39"/>
      <c r="J6" s="39"/>
    </row>
    <row r="8" spans="1:10" ht="21.75" customHeight="1" x14ac:dyDescent="0.2">
      <c r="A8" s="87" t="s">
        <v>389</v>
      </c>
      <c r="B8" s="87"/>
      <c r="C8" s="87"/>
    </row>
    <row r="9" spans="1:10" ht="18" customHeight="1" x14ac:dyDescent="0.2">
      <c r="A9" s="88" t="s">
        <v>351</v>
      </c>
      <c r="B9" s="88"/>
      <c r="C9" s="23">
        <v>1500000</v>
      </c>
    </row>
    <row r="10" spans="1:10" ht="18" customHeight="1" x14ac:dyDescent="0.2">
      <c r="A10" s="88" t="s">
        <v>352</v>
      </c>
      <c r="B10" s="88"/>
      <c r="C10" s="24">
        <v>4.4999999999999998E-2</v>
      </c>
    </row>
    <row r="11" spans="1:10" ht="18" customHeight="1" x14ac:dyDescent="0.2">
      <c r="A11" s="88" t="s">
        <v>353</v>
      </c>
      <c r="B11" s="88"/>
      <c r="C11" s="25">
        <v>5</v>
      </c>
    </row>
    <row r="12" spans="1:10" ht="18" customHeight="1" x14ac:dyDescent="0.2">
      <c r="A12" s="88" t="s">
        <v>390</v>
      </c>
      <c r="B12" s="88"/>
      <c r="C12" s="40">
        <v>60</v>
      </c>
    </row>
    <row r="13" spans="1:10" ht="18" customHeight="1" x14ac:dyDescent="0.2">
      <c r="A13" s="88" t="s">
        <v>354</v>
      </c>
      <c r="B13" s="88"/>
      <c r="C13" s="41">
        <f>PMT(C10/12,C12,C9)</f>
        <v>-27964.528862274976</v>
      </c>
    </row>
    <row r="14" spans="1:10" ht="18" customHeight="1" x14ac:dyDescent="0.2">
      <c r="A14" s="88" t="s">
        <v>355</v>
      </c>
      <c r="B14" s="88"/>
      <c r="C14" s="41">
        <f>C12*(-pmt)</f>
        <v>1677871.7317364987</v>
      </c>
    </row>
    <row r="17" spans="9:9" ht="19.5" customHeight="1" x14ac:dyDescent="0.2"/>
    <row r="18" spans="9:9" ht="19.5" customHeight="1" x14ac:dyDescent="0.2"/>
    <row r="25" spans="9:9" x14ac:dyDescent="0.2">
      <c r="I25" s="38"/>
    </row>
    <row r="27" spans="9:9" x14ac:dyDescent="0.2">
      <c r="I27" s="38"/>
    </row>
  </sheetData>
  <scenarios current="1" show="1" sqref="C14">
    <scenario name="base case" locked="1" count="3" user="Joori AlQahtani" comment="Created by Joori AlQahtani on 01/05/2026_x000a_Modified by Joori AlQahtani on 01/05/2026">
      <inputCells r="C10" val="0.06" numFmtId="167"/>
      <inputCells r="C11" val="5" numFmtId="1"/>
      <inputCells r="C12" val="60" numFmtId="1"/>
    </scenario>
    <scenario name="optimistic case" locked="1" count="3" user="Joori AlQahtani" comment="Created by Joori AlQahtani on 01/05/2026_x000a_Modified by Joori AlQahtani on 01/05/2026">
      <inputCells r="C10" val="0.045" numFmtId="167"/>
      <inputCells r="C11" val="5" numFmtId="1"/>
      <inputCells r="C12" val="60" numFmtId="1"/>
    </scenario>
    <scenario name="pessimistic case" locked="1" count="3" user="Joori AlQahtani" comment="Created by Joori AlQahtani on 01/05/2026_x000a_Modified by Joori AlQahtani on 01/05/2026">
      <inputCells r="C10" val="0.08" numFmtId="167"/>
      <inputCells r="C11" val="7" numFmtId="1"/>
      <inputCells r="C12" val="84" numFmtId="1"/>
    </scenario>
  </scenarios>
  <mergeCells count="9">
    <mergeCell ref="A1:J1"/>
    <mergeCell ref="A2:J2"/>
    <mergeCell ref="A8:C8"/>
    <mergeCell ref="A9:B9"/>
    <mergeCell ref="A14:B14"/>
    <mergeCell ref="A12:B12"/>
    <mergeCell ref="A13:B13"/>
    <mergeCell ref="A10:B10"/>
    <mergeCell ref="A11:B1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596C1A2BE66D4BA7B7CBDF0D844F68" ma:contentTypeVersion="6" ma:contentTypeDescription="Create a new document." ma:contentTypeScope="" ma:versionID="c0c11232229fa1e66f2dc89dcee31f5d">
  <xsd:schema xmlns:xsd="http://www.w3.org/2001/XMLSchema" xmlns:xs="http://www.w3.org/2001/XMLSchema" xmlns:p="http://schemas.microsoft.com/office/2006/metadata/properties" xmlns:ns3="f122a619-0017-4c02-97c5-bdd37e08902b" targetNamespace="http://schemas.microsoft.com/office/2006/metadata/properties" ma:root="true" ma:fieldsID="e20903623aa6bb5eb6d962ebcbaf78c5" ns3:_="">
    <xsd:import namespace="f122a619-0017-4c02-97c5-bdd37e08902b"/>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2a619-0017-4c02-97c5-bdd37e08902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122a619-0017-4c02-97c5-bdd37e08902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F506CC-232D-41A6-85E5-555C9A5E9285}">
  <ds:schemaRefs>
    <ds:schemaRef ds:uri="http://schemas.microsoft.com/office/2006/metadata/contentType"/>
    <ds:schemaRef ds:uri="http://schemas.microsoft.com/office/2006/metadata/properties/metaAttributes"/>
    <ds:schemaRef ds:uri="http://www.w3.org/2000/xmlns/"/>
    <ds:schemaRef ds:uri="http://www.w3.org/2001/XMLSchema"/>
    <ds:schemaRef ds:uri="f122a619-0017-4c02-97c5-bdd37e08902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1FADFC-ED70-4D04-92E6-EB727BE359AE}">
  <ds:schemaRefs>
    <ds:schemaRef ds:uri="http://schemas.microsoft.com/office/2006/metadata/properties"/>
    <ds:schemaRef ds:uri="http://www.w3.org/2000/xmlns/"/>
    <ds:schemaRef ds:uri="f122a619-0017-4c02-97c5-bdd37e08902b"/>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C6CC26B0-BF44-4A03-900C-3F19FF3B37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Sales Data</vt:lpstr>
      <vt:lpstr>Pivot Table </vt:lpstr>
      <vt:lpstr>Trial Balance</vt:lpstr>
      <vt:lpstr>Common size analysis </vt:lpstr>
      <vt:lpstr>Fixed Assets Register</vt:lpstr>
      <vt:lpstr>Payroll Register</vt:lpstr>
      <vt:lpstr>Scenario Summary</vt:lpstr>
      <vt:lpstr>Loan Scenarios</vt:lpstr>
      <vt:lpstr>'Sales Data'!Extract</vt:lpstr>
      <vt:lpstr>pmt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حنان شرار بن ذعار الدلبحي</cp:lastModifiedBy>
  <cp:revision>0</cp:revision>
  <cp:lastPrinted>2026-04-30T22:37:30Z</cp:lastPrinted>
  <dcterms:created xsi:type="dcterms:W3CDTF">2026-03-26T10:17:48Z</dcterms:created>
  <dcterms:modified xsi:type="dcterms:W3CDTF">2026-05-25T15:37:43Z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0x010100B7596C1A2BE66D4BA7B7CBDF0D844F68</vt:lpwstr>
  </property>
</Properties>
</file>